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ata\"/>
    </mc:Choice>
  </mc:AlternateContent>
  <xr:revisionPtr revIDLastSave="0" documentId="13_ncr:1_{1248E4EB-269A-4598-9202-C7EE2FBCAA68}" xr6:coauthVersionLast="47" xr6:coauthVersionMax="47" xr10:uidLastSave="{00000000-0000-0000-0000-000000000000}"/>
  <bookViews>
    <workbookView xWindow="-108" yWindow="-108" windowWidth="23256" windowHeight="12456" activeTab="3" xr2:uid="{5DA19D9B-3DEE-4282-B595-54C2F5A01AB1}"/>
  </bookViews>
  <sheets>
    <sheet name="Dashboard" sheetId="9" r:id="rId1"/>
    <sheet name="Recruiting" sheetId="2" r:id="rId2"/>
    <sheet name="Employee" sheetId="3" r:id="rId3"/>
    <sheet name="Vacancy" sheetId="4" r:id="rId4"/>
    <sheet name="Layout" sheetId="1" r:id="rId5"/>
  </sheets>
  <definedNames>
    <definedName name="_xlnm._FilterDatabase" localSheetId="2" hidden="1">Employee!$A$1:$D$1582</definedName>
    <definedName name="_xlnm._FilterDatabase" localSheetId="3" hidden="1">Vacancy!$A$1:$G$133</definedName>
  </definedNames>
  <calcPr calcId="18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3" i="4" l="1"/>
  <c r="H133" i="4" a="1"/>
  <c r="H133" i="4" s="1"/>
  <c r="I132" i="4"/>
  <c r="H132" i="4" a="1"/>
  <c r="H132" i="4" s="1"/>
  <c r="I131" i="4"/>
  <c r="H131" i="4" a="1"/>
  <c r="H131" i="4" s="1"/>
  <c r="I130" i="4"/>
  <c r="H130" i="4" a="1"/>
  <c r="H130" i="4" s="1"/>
  <c r="I129" i="4"/>
  <c r="H129" i="4" a="1"/>
  <c r="H129" i="4" s="1"/>
  <c r="I128" i="4"/>
  <c r="H128" i="4" a="1"/>
  <c r="H128" i="4" s="1"/>
  <c r="I127" i="4"/>
  <c r="H127" i="4" a="1"/>
  <c r="H127" i="4" s="1"/>
  <c r="I126" i="4"/>
  <c r="H126" i="4" a="1"/>
  <c r="H126" i="4" s="1"/>
  <c r="I125" i="4"/>
  <c r="H125" i="4" a="1"/>
  <c r="H125" i="4" s="1"/>
  <c r="I124" i="4"/>
  <c r="H124" i="4" a="1"/>
  <c r="H124" i="4" s="1"/>
  <c r="I123" i="4"/>
  <c r="H123" i="4" a="1"/>
  <c r="H123" i="4" s="1"/>
  <c r="I122" i="4"/>
  <c r="H122" i="4"/>
  <c r="H122" i="4" a="1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7" i="2"/>
  <c r="E8" i="2"/>
  <c r="E9" i="2"/>
  <c r="E10" i="2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H2" i="4" a="1"/>
  <c r="H2" i="4" s="1"/>
  <c r="H3" i="4" a="1"/>
  <c r="H3" i="4"/>
  <c r="H4" i="4" a="1"/>
  <c r="H4" i="4"/>
  <c r="H5" i="4" a="1"/>
  <c r="H5" i="4" s="1"/>
  <c r="H6" i="4" a="1"/>
  <c r="H6" i="4" s="1"/>
  <c r="H7" i="4" a="1"/>
  <c r="H7" i="4"/>
  <c r="H8" i="4" a="1"/>
  <c r="H8" i="4"/>
  <c r="H9" i="4" a="1"/>
  <c r="H9" i="4" s="1"/>
  <c r="H10" i="4" a="1"/>
  <c r="H10" i="4" s="1"/>
  <c r="H11" i="4" a="1"/>
  <c r="H11" i="4" s="1"/>
  <c r="H12" i="4" a="1"/>
  <c r="H12" i="4"/>
  <c r="H13" i="4" a="1"/>
  <c r="H13" i="4"/>
  <c r="H14" i="4" a="1"/>
  <c r="H14" i="4" s="1"/>
  <c r="H15" i="4" a="1"/>
  <c r="H15" i="4"/>
  <c r="H16" i="4" a="1"/>
  <c r="H16" i="4"/>
  <c r="H17" i="4" a="1"/>
  <c r="H17" i="4"/>
  <c r="H18" i="4" a="1"/>
  <c r="H18" i="4" s="1"/>
  <c r="H19" i="4" a="1"/>
  <c r="H19" i="4" s="1"/>
  <c r="H20" i="4" a="1"/>
  <c r="H20" i="4" s="1"/>
  <c r="H21" i="4" a="1"/>
  <c r="H21" i="4"/>
  <c r="H22" i="4" a="1"/>
  <c r="H22" i="4" s="1"/>
  <c r="H23" i="4" a="1"/>
  <c r="H23" i="4" s="1"/>
  <c r="H24" i="4" a="1"/>
  <c r="H24" i="4" s="1"/>
  <c r="H25" i="4" a="1"/>
  <c r="H25" i="4"/>
  <c r="H26" i="4" a="1"/>
  <c r="H26" i="4" s="1"/>
  <c r="H27" i="4" a="1"/>
  <c r="H27" i="4"/>
  <c r="H28" i="4" a="1"/>
  <c r="H28" i="4"/>
  <c r="H29" i="4" a="1"/>
  <c r="H29" i="4" s="1"/>
  <c r="H30" i="4" a="1"/>
  <c r="H30" i="4" s="1"/>
  <c r="H31" i="4" a="1"/>
  <c r="H31" i="4"/>
  <c r="H32" i="4" a="1"/>
  <c r="H32" i="4" s="1"/>
  <c r="H33" i="4" a="1"/>
  <c r="H33" i="4" s="1"/>
  <c r="H34" i="4" a="1"/>
  <c r="H34" i="4" s="1"/>
  <c r="H35" i="4" a="1"/>
  <c r="H35" i="4"/>
  <c r="H36" i="4" a="1"/>
  <c r="H36" i="4"/>
  <c r="H37" i="4" a="1"/>
  <c r="H37" i="4"/>
  <c r="H38" i="4" a="1"/>
  <c r="H38" i="4" s="1"/>
  <c r="H39" i="4" a="1"/>
  <c r="H39" i="4"/>
  <c r="H40" i="4" a="1"/>
  <c r="H40" i="4"/>
  <c r="H41" i="4" a="1"/>
  <c r="H41" i="4" s="1"/>
  <c r="H42" i="4" a="1"/>
  <c r="H42" i="4" s="1"/>
  <c r="H43" i="4" a="1"/>
  <c r="H43" i="4" s="1"/>
  <c r="H44" i="4" a="1"/>
  <c r="H44" i="4"/>
  <c r="H45" i="4" a="1"/>
  <c r="H45" i="4"/>
  <c r="H46" i="4" a="1"/>
  <c r="H46" i="4" s="1"/>
  <c r="H47" i="4" a="1"/>
  <c r="H47" i="4" s="1"/>
  <c r="H48" i="4" a="1"/>
  <c r="H48" i="4"/>
  <c r="H49" i="4" a="1"/>
  <c r="H49" i="4"/>
  <c r="H50" i="4" a="1"/>
  <c r="H50" i="4" s="1"/>
  <c r="H51" i="4" a="1"/>
  <c r="H51" i="4"/>
  <c r="H52" i="4" a="1"/>
  <c r="H52" i="4" s="1"/>
  <c r="H53" i="4" a="1"/>
  <c r="H53" i="4"/>
  <c r="H54" i="4" a="1"/>
  <c r="H54" i="4" s="1"/>
  <c r="H55" i="4" a="1"/>
  <c r="H55" i="4" s="1"/>
  <c r="H56" i="4" a="1"/>
  <c r="H56" i="4" s="1"/>
  <c r="H57" i="4" a="1"/>
  <c r="H57" i="4"/>
  <c r="H58" i="4" a="1"/>
  <c r="H58" i="4" s="1"/>
  <c r="H59" i="4" a="1"/>
  <c r="H59" i="4"/>
  <c r="H60" i="4" a="1"/>
  <c r="H60" i="4"/>
  <c r="H61" i="4" a="1"/>
  <c r="H61" i="4" s="1"/>
  <c r="H62" i="4" a="1"/>
  <c r="H62" i="4" s="1"/>
  <c r="H63" i="4" a="1"/>
  <c r="H63" i="4"/>
  <c r="H64" i="4" a="1"/>
  <c r="H64" i="4" s="1"/>
  <c r="H65" i="4" a="1"/>
  <c r="H65" i="4" s="1"/>
  <c r="H66" i="4" a="1"/>
  <c r="H66" i="4" s="1"/>
  <c r="H67" i="4" a="1"/>
  <c r="H67" i="4"/>
  <c r="H68" i="4" a="1"/>
  <c r="H68" i="4"/>
  <c r="H69" i="4" a="1"/>
  <c r="H69" i="4"/>
  <c r="H70" i="4" a="1"/>
  <c r="H70" i="4" s="1"/>
  <c r="H71" i="4" a="1"/>
  <c r="H71" i="4"/>
  <c r="H72" i="4" a="1"/>
  <c r="H72" i="4"/>
  <c r="H73" i="4" a="1"/>
  <c r="H73" i="4" s="1"/>
  <c r="H74" i="4" a="1"/>
  <c r="H74" i="4" s="1"/>
  <c r="H75" i="4" a="1"/>
  <c r="H75" i="4" s="1"/>
  <c r="H76" i="4" a="1"/>
  <c r="H76" i="4"/>
  <c r="H77" i="4" a="1"/>
  <c r="H77" i="4"/>
  <c r="H78" i="4" a="1"/>
  <c r="H78" i="4" s="1"/>
  <c r="H79" i="4" a="1"/>
  <c r="H79" i="4" s="1"/>
  <c r="H80" i="4" a="1"/>
  <c r="H80" i="4"/>
  <c r="H81" i="4" a="1"/>
  <c r="H81" i="4"/>
  <c r="H82" i="4" a="1"/>
  <c r="H82" i="4" s="1"/>
  <c r="H83" i="4" a="1"/>
  <c r="H83" i="4"/>
  <c r="H84" i="4" a="1"/>
  <c r="H84" i="4" s="1"/>
  <c r="H85" i="4" a="1"/>
  <c r="H85" i="4"/>
  <c r="H86" i="4" a="1"/>
  <c r="H86" i="4" s="1"/>
  <c r="H87" i="4" a="1"/>
  <c r="H87" i="4" s="1"/>
  <c r="H88" i="4" a="1"/>
  <c r="H88" i="4" s="1"/>
  <c r="H89" i="4" a="1"/>
  <c r="H89" i="4"/>
  <c r="H90" i="4" a="1"/>
  <c r="H90" i="4" s="1"/>
  <c r="H91" i="4" a="1"/>
  <c r="H91" i="4"/>
  <c r="H92" i="4" a="1"/>
  <c r="H92" i="4"/>
  <c r="H93" i="4" a="1"/>
  <c r="H93" i="4" s="1"/>
  <c r="H94" i="4" a="1"/>
  <c r="H94" i="4" s="1"/>
  <c r="H95" i="4" a="1"/>
  <c r="H95" i="4"/>
  <c r="H96" i="4" a="1"/>
  <c r="H96" i="4" s="1"/>
  <c r="H97" i="4" a="1"/>
  <c r="H97" i="4" s="1"/>
  <c r="H98" i="4" a="1"/>
  <c r="H98" i="4" s="1"/>
  <c r="H99" i="4" a="1"/>
  <c r="H99" i="4"/>
  <c r="H100" i="4" a="1"/>
  <c r="H100" i="4"/>
  <c r="H101" i="4" a="1"/>
  <c r="H101" i="4"/>
  <c r="H102" i="4" a="1"/>
  <c r="H102" i="4" s="1"/>
  <c r="H103" i="4" a="1"/>
  <c r="H103" i="4"/>
  <c r="H104" i="4" a="1"/>
  <c r="H104" i="4"/>
  <c r="H105" i="4" a="1"/>
  <c r="H105" i="4" s="1"/>
  <c r="H106" i="4" a="1"/>
  <c r="H106" i="4" s="1"/>
  <c r="H107" i="4" a="1"/>
  <c r="H107" i="4" s="1"/>
  <c r="H108" i="4" a="1"/>
  <c r="H108" i="4"/>
  <c r="H109" i="4" a="1"/>
  <c r="H109" i="4"/>
  <c r="H110" i="4" a="1"/>
  <c r="H110" i="4" s="1"/>
  <c r="H111" i="4" a="1"/>
  <c r="H111" i="4" s="1"/>
  <c r="H112" i="4" a="1"/>
  <c r="H112" i="4"/>
  <c r="H113" i="4" a="1"/>
  <c r="H113" i="4"/>
  <c r="H114" i="4" a="1"/>
  <c r="H114" i="4" s="1"/>
  <c r="H115" i="4" a="1"/>
  <c r="H115" i="4"/>
  <c r="H116" i="4" a="1"/>
  <c r="H116" i="4" s="1"/>
  <c r="H117" i="4" a="1"/>
  <c r="H117" i="4" s="1"/>
  <c r="H118" i="4" a="1"/>
  <c r="H118" i="4" s="1"/>
  <c r="H119" i="4" a="1"/>
  <c r="H119" i="4"/>
  <c r="H120" i="4" a="1"/>
  <c r="H120" i="4" s="1"/>
  <c r="H121" i="4" a="1"/>
  <c r="H121" i="4" s="1"/>
  <c r="G2" i="2" a="1"/>
  <c r="G2" i="2" s="1"/>
  <c r="G3" i="2" a="1"/>
  <c r="G3" i="2" s="1"/>
  <c r="G4" i="2" a="1"/>
  <c r="G4" i="2" s="1"/>
  <c r="G5" i="2" a="1"/>
  <c r="G5" i="2" s="1"/>
  <c r="G6" i="2" a="1"/>
  <c r="G6" i="2" s="1"/>
  <c r="F2" i="2" a="1"/>
  <c r="F2" i="2" s="1"/>
  <c r="F3" i="2" a="1"/>
  <c r="F3" i="2" s="1"/>
  <c r="F4" i="2" a="1"/>
  <c r="F4" i="2" s="1"/>
  <c r="F5" i="2" a="1"/>
  <c r="F5" i="2" s="1"/>
  <c r="F6" i="2" a="1"/>
  <c r="F6" i="2" s="1"/>
  <c r="E2" i="2"/>
  <c r="E3" i="2"/>
  <c r="E4" i="2"/>
  <c r="E5" i="2"/>
  <c r="E6" i="2"/>
  <c r="I5" i="2" l="1"/>
  <c r="H2" i="2"/>
  <c r="H5" i="2"/>
  <c r="H6" i="2"/>
  <c r="H4" i="2"/>
  <c r="H3" i="2"/>
  <c r="I6" i="2"/>
  <c r="I4" i="2"/>
  <c r="I3" i="2"/>
  <c r="I2" i="2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<sst xmlns="http://schemas.openxmlformats.org/spreadsheetml/2006/main" count="925" uniqueCount="64">
  <si>
    <t>Year</t>
  </si>
  <si>
    <t>Recruiter Salary</t>
  </si>
  <si>
    <t>Recruiter Fees</t>
  </si>
  <si>
    <t>Applicants</t>
  </si>
  <si>
    <t>Success</t>
  </si>
  <si>
    <t>Male</t>
  </si>
  <si>
    <t>Female</t>
  </si>
  <si>
    <t>White</t>
  </si>
  <si>
    <t>Black</t>
  </si>
  <si>
    <t>Asian</t>
  </si>
  <si>
    <t>Hispanic</t>
  </si>
  <si>
    <t>Other</t>
  </si>
  <si>
    <t>EmployeeID</t>
  </si>
  <si>
    <t>StartDate</t>
  </si>
  <si>
    <t>EndDate</t>
  </si>
  <si>
    <t>Row Labels</t>
  </si>
  <si>
    <t>Grand Total</t>
  </si>
  <si>
    <t>2017</t>
  </si>
  <si>
    <t>2018</t>
  </si>
  <si>
    <t>2019</t>
  </si>
  <si>
    <t>2020</t>
  </si>
  <si>
    <t>Count of EmployeeID</t>
  </si>
  <si>
    <t>TRUE</t>
  </si>
  <si>
    <t>Days</t>
  </si>
  <si>
    <t>Reason</t>
  </si>
  <si>
    <t>Salary</t>
  </si>
  <si>
    <t>Dissatisfied with duties</t>
  </si>
  <si>
    <t>Retired</t>
  </si>
  <si>
    <t>Health</t>
  </si>
  <si>
    <t>Promotion</t>
  </si>
  <si>
    <t>Relocated</t>
  </si>
  <si>
    <t>More hours</t>
  </si>
  <si>
    <t>Job</t>
  </si>
  <si>
    <t>Department</t>
  </si>
  <si>
    <t>Vacant</t>
  </si>
  <si>
    <t>Filled</t>
  </si>
  <si>
    <t>Accountant</t>
  </si>
  <si>
    <t>Controller</t>
  </si>
  <si>
    <t>Marketing Manager</t>
  </si>
  <si>
    <t>Marketing Staff</t>
  </si>
  <si>
    <t>Billing Clerk</t>
  </si>
  <si>
    <t>Assistant Controller</t>
  </si>
  <si>
    <t>General Manager</t>
  </si>
  <si>
    <t>Store Manager</t>
  </si>
  <si>
    <t>Assistant Manager</t>
  </si>
  <si>
    <t>Stockroom</t>
  </si>
  <si>
    <t>Cashier</t>
  </si>
  <si>
    <t>Maintenance</t>
  </si>
  <si>
    <t>Bookkeeper</t>
  </si>
  <si>
    <t>Corporate</t>
  </si>
  <si>
    <t>Backoffice</t>
  </si>
  <si>
    <t>Store</t>
  </si>
  <si>
    <t>Count of Job</t>
  </si>
  <si>
    <t>Gender</t>
  </si>
  <si>
    <t>Race</t>
  </si>
  <si>
    <t>2021</t>
  </si>
  <si>
    <t>Involuntary</t>
  </si>
  <si>
    <t>Total</t>
  </si>
  <si>
    <t>Cost per Applicant</t>
  </si>
  <si>
    <t>Cost per Success</t>
  </si>
  <si>
    <t>CurrentYear</t>
  </si>
  <si>
    <t>90Days</t>
  </si>
  <si>
    <t>Years</t>
  </si>
  <si>
    <t>Average of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</si>
</sst>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76" formatCode="_(* #,##0_);_(* \(#,##0\);_(* &quot;-&quot;??_);_(@_)"/>
  </numFmts>
  <fonts count="3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2" applyFont="1"/>
    <xf numFmtId="176" fontId="0" fillId="0" borderId="0" xfId="1" applyNumberFormat="1" applyFont="1"/>
    <xf numFmtId="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16"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7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7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7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7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7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7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7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7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Recruiting Cost</a:t>
            </a:r>
          </a:p>
          <a:p>
            <a:pPr>
              <a:defRPr/>
            </a:pPr>
            <a:r>
              <a:rPr lang="en-US"/>
              <a:t>(in thousands)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Recruiting!$E$1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Recruiting!$A$2:$A$16</c:f>
              <c:numCache>
                <c:formatCode>General</c:formatCode>
                <c:ptCount val="1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Recruiting!$E$2:$E$16</c:f>
              <c:numCache>
                <c:formatCode>_(* #,##0_);_(* \(#,##0\);_(* "-"??_);_(@_)</c:formatCode>
                <c:ptCount val="15"/>
                <c:pt idx="0">
                  <c:v>211753</c:v>
                </c:pt>
                <c:pt idx="1">
                  <c:v>187945</c:v>
                </c:pt>
                <c:pt idx="2">
                  <c:v>268886</c:v>
                </c:pt>
                <c:pt idx="3">
                  <c:v>198853</c:v>
                </c:pt>
                <c:pt idx="4">
                  <c:v>250689</c:v>
                </c:pt>
                <c:pt idx="5">
                  <c:v>221279</c:v>
                </c:pt>
                <c:pt idx="6">
                  <c:v>212180.5</c:v>
                </c:pt>
                <c:pt idx="7">
                  <c:v>203082</c:v>
                </c:pt>
                <c:pt idx="8">
                  <c:v>193983.5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9D-450D-80B1-C1EB16F44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033152"/>
        <c:axId val="982032168"/>
      </c:barChart>
      <c:catAx>
        <c:axId val="98203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32168"/>
        <c:crosses val="autoZero"/>
        <c:auto val="1"/>
        <c:lblAlgn val="ctr"/>
        <c:lblOffset val="100"/>
        <c:noMultiLvlLbl val="0"/>
      </c:catAx>
      <c:valAx>
        <c:axId val="98203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,;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03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Recruiting Cost per Applicant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7"/>
          <c:order val="1"/>
          <c:tx>
            <c:strRef>
              <c:f>Recruiting!$I$1</c:f>
              <c:strCache>
                <c:ptCount val="1"/>
                <c:pt idx="0">
                  <c:v>Cost per Success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Recruiting!$A$2:$A$16</c:f>
              <c:numCache>
                <c:formatCode>General</c:formatCode>
                <c:ptCount val="1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Recruiting!$I$2:$I$16</c:f>
              <c:numCache>
                <c:formatCode>_(* #,##0_);_(* \(#,##0\);_(* "-"??_);_(@_)</c:formatCode>
                <c:ptCount val="15"/>
                <c:pt idx="0">
                  <c:v>11144.894736842105</c:v>
                </c:pt>
                <c:pt idx="1">
                  <c:v>10441.388888888889</c:v>
                </c:pt>
                <c:pt idx="2">
                  <c:v>8962.8666666666668</c:v>
                </c:pt>
                <c:pt idx="3">
                  <c:v>8285.5416666666661</c:v>
                </c:pt>
                <c:pt idx="4">
                  <c:v>8644.4482758620688</c:v>
                </c:pt>
                <c:pt idx="5">
                  <c:v>10441.388888888889</c:v>
                </c:pt>
                <c:pt idx="6">
                  <c:v>8962.8666666666668</c:v>
                </c:pt>
                <c:pt idx="7">
                  <c:v>8285.5416666666661</c:v>
                </c:pt>
                <c:pt idx="8">
                  <c:v>8644.4482758620688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6-4A98-B06A-3F847AD6E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9283432"/>
        <c:axId val="929283104"/>
      </c:barChart>
      <c:lineChart>
        <c:grouping val="standard"/>
        <c:varyColors val="0"/>
        <c:ser>
          <c:idx val="6"/>
          <c:order val="0"/>
          <c:tx>
            <c:strRef>
              <c:f>Recruiting!$H$1</c:f>
              <c:strCache>
                <c:ptCount val="1"/>
                <c:pt idx="0">
                  <c:v>Cost per Applicant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Recruiting!$A$2:$A$16</c:f>
              <c:numCache>
                <c:formatCode>General</c:formatCode>
                <c:ptCount val="1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</c:numCache>
            </c:numRef>
          </c:cat>
          <c:val>
            <c:numRef>
              <c:f>Recruiting!$H$2:$H$16</c:f>
              <c:numCache>
                <c:formatCode>_(* #,##0_);_(* \(#,##0\);_(* "-"??_);_(@_)</c:formatCode>
                <c:ptCount val="15"/>
                <c:pt idx="0">
                  <c:v>183.65394622723329</c:v>
                </c:pt>
                <c:pt idx="1">
                  <c:v>206.30625686059275</c:v>
                </c:pt>
                <c:pt idx="2">
                  <c:v>158.728453364817</c:v>
                </c:pt>
                <c:pt idx="3">
                  <c:v>143.78380332610269</c:v>
                </c:pt>
                <c:pt idx="4">
                  <c:v>148.33668639053255</c:v>
                </c:pt>
                <c:pt idx="5">
                  <c:v>206.30625686059275</c:v>
                </c:pt>
                <c:pt idx="6">
                  <c:v>158.728453364817</c:v>
                </c:pt>
                <c:pt idx="7">
                  <c:v>143.78380332610269</c:v>
                </c:pt>
                <c:pt idx="8">
                  <c:v>148.33668639053255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D6-4A98-B06A-3F847AD6E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880384"/>
        <c:axId val="983881040"/>
      </c:lineChart>
      <c:catAx>
        <c:axId val="929283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3104"/>
        <c:crosses val="autoZero"/>
        <c:auto val="1"/>
        <c:lblAlgn val="ctr"/>
        <c:lblOffset val="100"/>
        <c:noMultiLvlLbl val="0"/>
      </c:catAx>
      <c:valAx>
        <c:axId val="92928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283432"/>
        <c:crosses val="autoZero"/>
        <c:crossBetween val="between"/>
      </c:valAx>
      <c:valAx>
        <c:axId val="983881040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3880384"/>
        <c:crosses val="max"/>
        <c:crossBetween val="between"/>
      </c:valAx>
      <c:catAx>
        <c:axId val="9838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83881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Gender</a:t>
            </a:r>
          </a:p>
        </c:rich>
      </c:tx>
      <c:layout>
        <c:manualLayout>
          <c:xMode val="edge"/>
          <c:yMode val="edge"/>
          <c:x val="0.717262022309615"/>
          <c:y val="0.1247679678338080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CBA9B68-748D-48A7-86C5-4C9F78085D76}" type="PERCENTAGE">
                  <a:rPr lang="en-US" altLang="zh-TW" b="1">
                    <a:solidFill>
                      <a:schemeClr val="bg1"/>
                    </a:solidFill>
                  </a:rPr>
                  <a:pPr>
                    <a:defRPr/>
                  </a:pPr>
                  <a:t>[PERCENTAGE]</a:t>
                </a:fld>
                <a:endParaRPr lang="zh-TW" alt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5DF2D60-F3D6-4BFE-9C4D-4EECDEF19684}" type="PERCENTAGE">
                  <a:rPr lang="en-US" altLang="zh-TW" b="1">
                    <a:solidFill>
                      <a:schemeClr val="bg1"/>
                    </a:solidFill>
                  </a:rPr>
                  <a:pPr>
                    <a:defRPr/>
                  </a:pPr>
                  <a:t>[PERCENTAGE]</a:t>
                </a:fld>
                <a:endParaRPr lang="zh-TW" alt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4.3722105928354196E-2"/>
          <c:y val="3.4130786843133969E-2"/>
          <c:w val="0.65099211610865759"/>
          <c:h val="0.90203942592282349"/>
        </c:manualLayout>
      </c:layout>
      <c:doughnutChart>
        <c:varyColors val="1"/>
        <c:ser>
          <c:idx val="0"/>
          <c:order val="0"/>
          <c:tx>
            <c:strRef>
              <c:f>Dashboard!$S$5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83-41C1-B922-1BECEB6EDD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83-41C1-B922-1BECEB6EDD3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3CBA9B68-748D-48A7-86C5-4C9F78085D76}" type="PERCENTAGE">
                      <a:rPr lang="en-US" altLang="zh-TW" b="1">
                        <a:solidFill>
                          <a:schemeClr val="bg1"/>
                        </a:solidFill>
                      </a:rPr>
                      <a:pPr/>
                      <a:t>[PERCENTAGE]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983-41C1-B922-1BECEB6EDD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DF2D60-F3D6-4BFE-9C4D-4EECDEF19684}" type="PERCENTAGE">
                      <a:rPr lang="en-US" altLang="zh-TW" b="1">
                        <a:solidFill>
                          <a:schemeClr val="bg1"/>
                        </a:solidFill>
                      </a:rPr>
                      <a:pPr/>
                      <a:t>[PERCENTAGE]</a:t>
                    </a:fld>
                    <a:endParaRPr lang="zh-TW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983-41C1-B922-1BECEB6EDD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Dashboard!$R$6:$R$8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Dashboard!$S$6:$S$8</c:f>
              <c:numCache>
                <c:formatCode>General</c:formatCode>
                <c:ptCount val="2"/>
                <c:pt idx="0">
                  <c:v>10</c:v>
                </c:pt>
                <c:pt idx="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8-40BD-ABD6-A7F3E4C9E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Race</a:t>
            </a:r>
          </a:p>
        </c:rich>
      </c:tx>
      <c:layout>
        <c:manualLayout>
          <c:xMode val="edge"/>
          <c:yMode val="edge"/>
          <c:x val="0.72782107509751948"/>
          <c:y val="0.133829286964129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9497059559094015E-2"/>
          <c:y val="6.7825142546836817E-2"/>
          <c:w val="0.63722243723672989"/>
          <c:h val="0.86788385826771652"/>
        </c:manualLayout>
      </c:layout>
      <c:doughnutChart>
        <c:varyColors val="1"/>
        <c:ser>
          <c:idx val="0"/>
          <c:order val="0"/>
          <c:tx>
            <c:strRef>
              <c:f>Dashboard!$S$12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F77-413D-92AE-A857BA3C1E8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7-413D-92AE-A857BA3C1E8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7-413D-92AE-A857BA3C1E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F77-413D-92AE-A857BA3C1E88}"/>
              </c:ext>
            </c:extLst>
          </c:dPt>
          <c:dPt>
            <c:idx val="4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D1-4B9E-8C79-4E2A89EC9F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Dashboard!$R$13:$R$18</c:f>
              <c:strCache>
                <c:ptCount val="5"/>
                <c:pt idx="0">
                  <c:v>Asian</c:v>
                </c:pt>
                <c:pt idx="1">
                  <c:v>Black</c:v>
                </c:pt>
                <c:pt idx="2">
                  <c:v>Hispanic</c:v>
                </c:pt>
                <c:pt idx="3">
                  <c:v>Other</c:v>
                </c:pt>
                <c:pt idx="4">
                  <c:v>White</c:v>
                </c:pt>
              </c:strCache>
            </c:strRef>
          </c:cat>
          <c:val>
            <c:numRef>
              <c:f>Dashboard!$S$13:$S$18</c:f>
              <c:numCache>
                <c:formatCode>General</c:formatCode>
                <c:ptCount val="5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7-413D-92AE-A857BA3C1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90-day Quit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Dashboard!$E$19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Dashboard!$D$20:$D$25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Dashboard!$E$20:$E$25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F-4ADF-A5F3-C28FD189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6772120"/>
        <c:axId val="1106772448"/>
      </c:lineChart>
      <c:catAx>
        <c:axId val="1106772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772448"/>
        <c:crosses val="autoZero"/>
        <c:auto val="1"/>
        <c:lblAlgn val="ctr"/>
        <c:lblOffset val="100"/>
        <c:noMultiLvlLbl val="0"/>
      </c:catAx>
      <c:valAx>
        <c:axId val="110677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77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Voluntary Separations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Dashboard!$J$19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Dashboard!$I$20:$I$27</c:f>
              <c:strCache>
                <c:ptCount val="7"/>
                <c:pt idx="0">
                  <c:v>Salary</c:v>
                </c:pt>
                <c:pt idx="1">
                  <c:v>Retired</c:v>
                </c:pt>
                <c:pt idx="2">
                  <c:v>Relocated</c:v>
                </c:pt>
                <c:pt idx="3">
                  <c:v>Dissatisfied with duties</c:v>
                </c:pt>
                <c:pt idx="4">
                  <c:v>Health</c:v>
                </c:pt>
                <c:pt idx="5">
                  <c:v>More hours</c:v>
                </c:pt>
                <c:pt idx="6">
                  <c:v>Promotion</c:v>
                </c:pt>
              </c:strCache>
            </c:strRef>
          </c:cat>
          <c:val>
            <c:numRef>
              <c:f>Dashboard!$J$20:$J$27</c:f>
              <c:numCache>
                <c:formatCode>General</c:formatCode>
                <c:ptCount val="7"/>
                <c:pt idx="0">
                  <c:v>17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8-4466-9587-5AACD7AC4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78148808"/>
        <c:axId val="978146184"/>
      </c:barChart>
      <c:catAx>
        <c:axId val="978148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146184"/>
        <c:crosses val="autoZero"/>
        <c:auto val="1"/>
        <c:lblAlgn val="ctr"/>
        <c:lblOffset val="100"/>
        <c:noMultiLvlLbl val="0"/>
      </c:catAx>
      <c:valAx>
        <c:axId val="978146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14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[HumanResources.xlsm]Dashboard!PivotTable39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Days</a:t>
            </a:r>
            <a:r>
              <a:rPr lang="en-US" baseline="0"/>
              <a:t> to Fill Vacancies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Dashboard!$P$21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Dashboard!$O$22:$O$27</c:f>
              <c:strCach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strCache>
            </c:strRef>
          </c:cat>
          <c:val>
            <c:numRef>
              <c:f>Dashboard!$P$22:$P$27</c:f>
              <c:numCache>
                <c:formatCode>General</c:formatCode>
                <c:ptCount val="5"/>
                <c:pt idx="0">
                  <c:v>29.684210526315791</c:v>
                </c:pt>
                <c:pt idx="1">
                  <c:v>26.666666666666668</c:v>
                </c:pt>
                <c:pt idx="2">
                  <c:v>30</c:v>
                </c:pt>
                <c:pt idx="3">
                  <c:v>28.875</c:v>
                </c:pt>
                <c:pt idx="4">
                  <c:v>30.758620689655171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A-4AE5-94DE-D10F74520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4986920"/>
        <c:axId val="1104987576"/>
      </c:lineChart>
      <c:catAx>
        <c:axId val="110498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987576"/>
        <c:crosses val="autoZero"/>
        <c:auto val="1"/>
        <c:lblAlgn val="ctr"/>
        <c:lblOffset val="100"/>
        <c:noMultiLvlLbl val="0"/>
      </c:catAx>
      <c:valAx>
        <c:axId val="11049875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98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400051</xdr:colOff>
      <xdr:row>3</xdr:row>
      <xdr:rowOff>117022</xdr:rowOff>
    </xdr:from>
    <xdr:to>
      <xdr:col>7</xdr:col>
      <xdr:colOff>0</xdr:colOff>
      <xdr:row>14</xdr:row>
      <xdr:rowOff>161925</xdr:rowOff>
    </xdr:to>
    <xdr:graphicFrame macro="">
      <xdr:nvGraphicFramePr>
        <xdr:cNvPr id="2" name="RecCost">
          <a:extLst>
            <a:ext uri="{FF2B5EF4-FFF2-40B4-BE49-F238E27FC236}">
              <a16:creationId xmlns:a16="http://schemas.microsoft.com/office/drawing/2014/main" id="{3136CB53-8380-4D42-9C34-315D52221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</xdr:row>
      <xdr:rowOff>117022</xdr:rowOff>
    </xdr:from>
    <xdr:to>
      <xdr:col>10</xdr:col>
      <xdr:colOff>352424</xdr:colOff>
      <xdr:row>14</xdr:row>
      <xdr:rowOff>161925</xdr:rowOff>
    </xdr:to>
    <xdr:graphicFrame macro="">
      <xdr:nvGraphicFramePr>
        <xdr:cNvPr id="3" name="PerApp">
          <a:extLst>
            <a:ext uri="{FF2B5EF4-FFF2-40B4-BE49-F238E27FC236}">
              <a16:creationId xmlns:a16="http://schemas.microsoft.com/office/drawing/2014/main" id="{E8200F44-AC30-4EDF-A71C-0C3673DDE5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352423</xdr:colOff>
      <xdr:row>3</xdr:row>
      <xdr:rowOff>117022</xdr:rowOff>
    </xdr:from>
    <xdr:to>
      <xdr:col>21</xdr:col>
      <xdr:colOff>409572</xdr:colOff>
      <xdr:row>14</xdr:row>
      <xdr:rowOff>161925</xdr:rowOff>
    </xdr:to>
    <xdr:graphicFrame macro="">
      <xdr:nvGraphicFramePr>
        <xdr:cNvPr id="4" name="Gender">
          <a:extLst>
            <a:ext uri="{FF2B5EF4-FFF2-40B4-BE49-F238E27FC236}">
              <a16:creationId xmlns:a16="http://schemas.microsoft.com/office/drawing/2014/main" id="{5559C4CE-3D4C-49A7-A193-611A5B223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352423</xdr:colOff>
      <xdr:row>14</xdr:row>
      <xdr:rowOff>161925</xdr:rowOff>
    </xdr:from>
    <xdr:to>
      <xdr:col>21</xdr:col>
      <xdr:colOff>409572</xdr:colOff>
      <xdr:row>27</xdr:row>
      <xdr:rowOff>180975</xdr:rowOff>
    </xdr:to>
    <xdr:graphicFrame macro="">
      <xdr:nvGraphicFramePr>
        <xdr:cNvPr id="5" name="Race">
          <a:extLst>
            <a:ext uri="{FF2B5EF4-FFF2-40B4-BE49-F238E27FC236}">
              <a16:creationId xmlns:a16="http://schemas.microsoft.com/office/drawing/2014/main" id="{E642D04D-9B5D-4336-989E-AAD373B38C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400051</xdr:colOff>
      <xdr:row>14</xdr:row>
      <xdr:rowOff>161925</xdr:rowOff>
    </xdr:from>
    <xdr:to>
      <xdr:col>4</xdr:col>
      <xdr:colOff>1533525</xdr:colOff>
      <xdr:row>27</xdr:row>
      <xdr:rowOff>180975</xdr:rowOff>
    </xdr:to>
    <xdr:graphicFrame macro="">
      <xdr:nvGraphicFramePr>
        <xdr:cNvPr id="6" name="QuitRate">
          <a:extLst>
            <a:ext uri="{FF2B5EF4-FFF2-40B4-BE49-F238E27FC236}">
              <a16:creationId xmlns:a16="http://schemas.microsoft.com/office/drawing/2014/main" id="{DAE488EC-E228-4D53-A6F0-0478C8955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1533525</xdr:colOff>
      <xdr:row>14</xdr:row>
      <xdr:rowOff>161925</xdr:rowOff>
    </xdr:from>
    <xdr:to>
      <xdr:col>8</xdr:col>
      <xdr:colOff>723899</xdr:colOff>
      <xdr:row>27</xdr:row>
      <xdr:rowOff>180975</xdr:rowOff>
    </xdr:to>
    <xdr:graphicFrame macro="">
      <xdr:nvGraphicFramePr>
        <xdr:cNvPr id="7" name="VolSep">
          <a:extLst>
            <a:ext uri="{FF2B5EF4-FFF2-40B4-BE49-F238E27FC236}">
              <a16:creationId xmlns:a16="http://schemas.microsoft.com/office/drawing/2014/main" id="{7787CE2D-0699-4A71-9730-280070164B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723899</xdr:colOff>
      <xdr:row>14</xdr:row>
      <xdr:rowOff>161925</xdr:rowOff>
    </xdr:from>
    <xdr:to>
      <xdr:col>10</xdr:col>
      <xdr:colOff>352423</xdr:colOff>
      <xdr:row>27</xdr:row>
      <xdr:rowOff>180975</xdr:rowOff>
    </xdr:to>
    <xdr:graphicFrame macro="">
      <xdr:nvGraphicFramePr>
        <xdr:cNvPr id="8" name="Vacancy">
          <a:extLst>
            <a:ext uri="{FF2B5EF4-FFF2-40B4-BE49-F238E27FC236}">
              <a16:creationId xmlns:a16="http://schemas.microsoft.com/office/drawing/2014/main" id="{432D6332-F29C-4D41-BF08-27125D62FB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9525</xdr:rowOff>
    </xdr:from>
    <xdr:to>
      <xdr:col>7</xdr:col>
      <xdr:colOff>542925</xdr:colOff>
      <xdr:row>14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33E8EC-4BD0-4598-8384-A3DDE2D83039}"/>
            </a:ext>
          </a:extLst>
        </xdr:cNvPr>
        <xdr:cNvSpPr/>
      </xdr:nvSpPr>
      <xdr:spPr>
        <a:xfrm>
          <a:off x="1828800" y="771525"/>
          <a:ext cx="298132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Recruiting</a:t>
          </a:r>
          <a:r>
            <a:rPr lang="en-US" sz="1100" baseline="0"/>
            <a:t> cost by year</a:t>
          </a:r>
          <a:endParaRPr lang="en-US" sz="1100"/>
        </a:p>
      </xdr:txBody>
    </xdr:sp>
    <xdr:clientData/>
  </xdr:twoCellAnchor>
  <xdr:twoCellAnchor>
    <xdr:from>
      <xdr:col>7</xdr:col>
      <xdr:colOff>600075</xdr:colOff>
      <xdr:row>4</xdr:row>
      <xdr:rowOff>19050</xdr:rowOff>
    </xdr:from>
    <xdr:to>
      <xdr:col>12</xdr:col>
      <xdr:colOff>533400</xdr:colOff>
      <xdr:row>14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0176DFF-D43F-4A0D-9CA1-485E25F2E860}"/>
            </a:ext>
          </a:extLst>
        </xdr:cNvPr>
        <xdr:cNvSpPr/>
      </xdr:nvSpPr>
      <xdr:spPr>
        <a:xfrm>
          <a:off x="4867275" y="781050"/>
          <a:ext cx="298132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Recruiting cost by applicant/succussful applicant</a:t>
          </a:r>
        </a:p>
      </xdr:txBody>
    </xdr:sp>
    <xdr:clientData/>
  </xdr:twoCellAnchor>
  <xdr:twoCellAnchor>
    <xdr:from>
      <xdr:col>12</xdr:col>
      <xdr:colOff>600075</xdr:colOff>
      <xdr:row>4</xdr:row>
      <xdr:rowOff>28575</xdr:rowOff>
    </xdr:from>
    <xdr:to>
      <xdr:col>15</xdr:col>
      <xdr:colOff>552450</xdr:colOff>
      <xdr:row>14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D551917-FD51-4B53-8E7F-823D6096F7A9}"/>
            </a:ext>
          </a:extLst>
        </xdr:cNvPr>
        <xdr:cNvSpPr/>
      </xdr:nvSpPr>
      <xdr:spPr>
        <a:xfrm>
          <a:off x="7915275" y="790575"/>
          <a:ext cx="178117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Diversity hires</a:t>
          </a:r>
        </a:p>
      </xdr:txBody>
    </xdr:sp>
    <xdr:clientData/>
  </xdr:twoCellAnchor>
  <xdr:twoCellAnchor>
    <xdr:from>
      <xdr:col>2</xdr:col>
      <xdr:colOff>600075</xdr:colOff>
      <xdr:row>14</xdr:row>
      <xdr:rowOff>133350</xdr:rowOff>
    </xdr:from>
    <xdr:to>
      <xdr:col>7</xdr:col>
      <xdr:colOff>19050</xdr:colOff>
      <xdr:row>24</xdr:row>
      <xdr:rowOff>133350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EC76429-8A16-4516-8056-DB0D40EB53AD}"/>
            </a:ext>
          </a:extLst>
        </xdr:cNvPr>
        <xdr:cNvSpPr/>
      </xdr:nvSpPr>
      <xdr:spPr>
        <a:xfrm>
          <a:off x="1819275" y="2800350"/>
          <a:ext cx="246697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90 day quit rate</a:t>
          </a:r>
        </a:p>
      </xdr:txBody>
    </xdr:sp>
    <xdr:clientData/>
  </xdr:twoCellAnchor>
  <xdr:twoCellAnchor>
    <xdr:from>
      <xdr:col>7</xdr:col>
      <xdr:colOff>266700</xdr:colOff>
      <xdr:row>14</xdr:row>
      <xdr:rowOff>161925</xdr:rowOff>
    </xdr:from>
    <xdr:to>
      <xdr:col>11</xdr:col>
      <xdr:colOff>295275</xdr:colOff>
      <xdr:row>24</xdr:row>
      <xdr:rowOff>161925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605E4D6F-FC1F-4471-A8E4-EFBC7BE1359B}"/>
            </a:ext>
          </a:extLst>
        </xdr:cNvPr>
        <xdr:cNvSpPr/>
      </xdr:nvSpPr>
      <xdr:spPr>
        <a:xfrm>
          <a:off x="4533900" y="2828925"/>
          <a:ext cx="246697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voluntary separation</a:t>
          </a:r>
          <a:r>
            <a:rPr lang="en-US" sz="1100" baseline="0"/>
            <a:t> by reason</a:t>
          </a:r>
          <a:endParaRPr lang="en-US" sz="1100"/>
        </a:p>
      </xdr:txBody>
    </xdr:sp>
    <xdr:clientData/>
  </xdr:twoCellAnchor>
  <xdr:twoCellAnchor>
    <xdr:from>
      <xdr:col>11</xdr:col>
      <xdr:colOff>428625</xdr:colOff>
      <xdr:row>14</xdr:row>
      <xdr:rowOff>171450</xdr:rowOff>
    </xdr:from>
    <xdr:to>
      <xdr:col>15</xdr:col>
      <xdr:colOff>457200</xdr:colOff>
      <xdr:row>24</xdr:row>
      <xdr:rowOff>171450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929D203-715D-4A69-AA65-1D61395E5E6E}"/>
            </a:ext>
          </a:extLst>
        </xdr:cNvPr>
        <xdr:cNvSpPr/>
      </xdr:nvSpPr>
      <xdr:spPr>
        <a:xfrm>
          <a:off x="7134225" y="2838450"/>
          <a:ext cx="2466975" cy="190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Avg</a:t>
          </a:r>
          <a:r>
            <a:rPr lang="en-US" sz="1100" baseline="0"/>
            <a:t> time to fill vacancies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ck Kusleika" refreshedDate="43976.289850231478" createdVersion="6" refreshedVersion="6" minRefreshableVersion="3" recordCount="1551" xr:uid="{5D8D98AB-FCDA-4524-9C77-2131F19EFDB3}">
  <cacheSource type="worksheet">
    <worksheetSource name="tblEmployee"/>
  </cacheSource>
  <cacheFields count="7">
    <cacheField name="EmployeeID" numFmtId="0">
      <sharedItems containsSemiMixedTypes="0" containsString="0" containsNumber="1" containsInteger="1" minValue="1002" maxValue="9997"/>
    </cacheField>
    <cacheField name="StartDate" numFmtId="14">
      <sharedItems containsSemiMixedTypes="0" containsNonDate="0" containsDate="1" containsString="0" minDate="2002-01-09T00:00:00" maxDate="2021-12-26T00:00:00"/>
    </cacheField>
    <cacheField name="EndDate" numFmtId="14">
      <sharedItems containsNonDate="0" containsDate="1" containsString="0" containsBlank="1" minDate="2003-10-09T00:00:00" maxDate="2022-01-01T00:00:00" count="302">
        <m/>
        <d v="2021-04-14T00:00:00"/>
        <d v="2021-03-16T00:00:00"/>
        <d v="2011-06-14T00:00:00"/>
        <d v="2019-09-23T00:00:00"/>
        <d v="2020-11-26T00:00:00"/>
        <d v="2019-08-27T00:00:00"/>
        <d v="2005-05-20T00:00:00"/>
        <d v="2020-01-23T00:00:00"/>
        <d v="2020-03-09T00:00:00"/>
        <d v="2012-05-13T00:00:00"/>
        <d v="2021-12-19T00:00:00"/>
        <d v="2019-05-01T00:00:00"/>
        <d v="2016-01-24T00:00:00"/>
        <d v="2019-10-07T00:00:00"/>
        <d v="2016-11-07T00:00:00"/>
        <d v="2020-01-05T00:00:00"/>
        <d v="2021-12-31T00:00:00"/>
        <d v="2011-09-06T00:00:00"/>
        <d v="2009-01-28T00:00:00"/>
        <d v="2010-02-15T00:00:00"/>
        <d v="2020-09-15T00:00:00"/>
        <d v="2004-06-27T00:00:00"/>
        <d v="2019-07-08T00:00:00"/>
        <d v="2019-08-13T00:00:00"/>
        <d v="2017-05-26T00:00:00"/>
        <d v="2021-02-13T00:00:00"/>
        <d v="2021-10-03T00:00:00"/>
        <d v="2010-03-27T00:00:00"/>
        <d v="2017-06-07T00:00:00"/>
        <d v="2011-10-08T00:00:00"/>
        <d v="2010-06-24T00:00:00"/>
        <d v="2018-06-15T00:00:00"/>
        <d v="2020-08-25T00:00:00"/>
        <d v="2015-04-28T00:00:00"/>
        <d v="2016-09-11T00:00:00"/>
        <d v="2010-01-18T00:00:00"/>
        <d v="2019-03-02T00:00:00"/>
        <d v="2018-01-29T00:00:00"/>
        <d v="2019-12-06T00:00:00"/>
        <d v="2003-10-09T00:00:00"/>
        <d v="2013-04-18T00:00:00"/>
        <d v="2021-04-01T00:00:00"/>
        <d v="2015-10-16T00:00:00"/>
        <d v="2013-05-08T00:00:00"/>
        <d v="2019-09-19T00:00:00"/>
        <d v="2019-10-16T00:00:00"/>
        <d v="2019-10-12T00:00:00"/>
        <d v="2015-12-26T00:00:00"/>
        <d v="2018-01-20T00:00:00"/>
        <d v="2016-08-06T00:00:00"/>
        <d v="2020-10-02T00:00:00"/>
        <d v="2018-05-03T00:00:00"/>
        <d v="2018-12-27T00:00:00"/>
        <d v="2017-09-27T00:00:00"/>
        <d v="2015-02-22T00:00:00"/>
        <d v="2015-01-20T00:00:00"/>
        <d v="2009-04-20T00:00:00"/>
        <d v="2021-08-18T00:00:00"/>
        <d v="2021-03-31T00:00:00"/>
        <d v="2019-01-17T00:00:00"/>
        <d v="2020-06-10T00:00:00"/>
        <d v="2019-12-24T00:00:00"/>
        <d v="2018-07-29T00:00:00"/>
        <d v="2010-03-08T00:00:00"/>
        <d v="2011-10-16T00:00:00"/>
        <d v="2020-12-11T00:00:00"/>
        <d v="2020-12-05T00:00:00"/>
        <d v="2012-04-03T00:00:00"/>
        <d v="2017-01-07T00:00:00"/>
        <d v="2020-12-19T00:00:00"/>
        <d v="2020-01-26T00:00:00"/>
        <d v="2021-10-08T00:00:00"/>
        <d v="2014-03-13T00:00:00"/>
        <d v="2016-11-11T00:00:00"/>
        <d v="2020-11-09T00:00:00"/>
        <d v="2017-11-02T00:00:00"/>
        <d v="2016-03-14T00:00:00"/>
        <d v="2006-06-01T00:00:00"/>
        <d v="2016-05-10T00:00:00"/>
        <d v="2021-10-23T00:00:00"/>
        <d v="2021-04-04T00:00:00"/>
        <d v="2017-04-24T00:00:00"/>
        <d v="2007-09-09T00:00:00"/>
        <d v="2021-06-15T00:00:00"/>
        <d v="2020-05-03T00:00:00"/>
        <d v="2017-01-04T00:00:00"/>
        <d v="2021-11-23T00:00:00"/>
        <d v="2011-07-06T00:00:00"/>
        <d v="2014-03-17T00:00:00"/>
        <d v="2019-04-27T00:00:00"/>
        <d v="2019-08-16T00:00:00"/>
        <d v="2021-05-02T00:00:00"/>
        <d v="2008-09-27T00:00:00"/>
        <d v="2019-05-24T00:00:00"/>
        <d v="2019-09-01T00:00:00"/>
        <d v="2019-06-03T00:00:00"/>
        <d v="2009-03-02T00:00:00"/>
        <d v="2016-07-13T00:00:00"/>
        <d v="2018-05-11T00:00:00"/>
        <d v="2019-05-19T00:00:00"/>
        <d v="2011-11-13T00:00:00"/>
        <d v="2018-05-07T00:00:00"/>
        <d v="2019-04-20T00:00:00"/>
        <d v="2021-10-17T00:00:00"/>
        <d v="2008-02-22T00:00:00"/>
        <d v="2017-11-08T00:00:00"/>
        <d v="2017-10-28T00:00:00"/>
        <d v="2011-01-27T00:00:00"/>
        <d v="2018-12-15T00:00:00"/>
        <d v="2009-06-20T00:00:00"/>
        <d v="2017-11-27T00:00:00"/>
        <d v="2021-08-06T00:00:00"/>
        <d v="2021-07-25T00:00:00"/>
        <d v="2021-05-24T00:00:00"/>
        <d v="2018-12-16T00:00:00"/>
        <d v="2015-12-01T00:00:00"/>
        <d v="2017-08-25T00:00:00"/>
        <d v="2017-04-15T00:00:00"/>
        <d v="2018-12-26T00:00:00"/>
        <d v="2021-03-08T00:00:00"/>
        <d v="2011-08-27T00:00:00"/>
        <d v="2021-04-20T00:00:00"/>
        <d v="2020-10-15T00:00:00"/>
        <d v="2021-02-24T00:00:00"/>
        <d v="2021-10-28T00:00:00"/>
        <d v="2020-06-22T00:00:00"/>
        <d v="2015-05-14T00:00:00"/>
        <d v="2015-12-31T00:00:00"/>
        <d v="2018-11-19T00:00:00"/>
        <d v="2012-09-13T00:00:00"/>
        <d v="2021-01-28T00:00:00"/>
        <d v="2021-07-17T00:00:00"/>
        <d v="2019-10-30T00:00:00"/>
        <d v="2020-10-29T00:00:00"/>
        <d v="2008-10-10T00:00:00"/>
        <d v="2015-03-22T00:00:00"/>
        <d v="2021-12-21T00:00:00"/>
        <d v="2011-03-22T00:00:00"/>
        <d v="2015-12-18T00:00:00"/>
        <d v="2018-06-14T00:00:00"/>
        <d v="2016-08-13T00:00:00"/>
        <d v="2011-07-02T00:00:00"/>
        <d v="2021-06-10T00:00:00"/>
        <d v="2012-10-30T00:00:00"/>
        <d v="2019-01-26T00:00:00"/>
        <d v="2020-08-31T00:00:00"/>
        <d v="2021-03-29T00:00:00"/>
        <d v="2020-02-10T00:00:00"/>
        <d v="2019-08-06T00:00:00"/>
        <d v="2021-10-11T00:00:00"/>
        <d v="2020-09-05T00:00:00"/>
        <d v="2019-07-10T00:00:00"/>
        <d v="2019-04-21T00:00:00"/>
        <d v="2019-01-22T00:00:00"/>
        <d v="2021-03-02T00:00:00"/>
        <d v="2017-03-16T00:00:00"/>
        <d v="2015-04-21T00:00:00"/>
        <d v="2021-09-11T00:00:00"/>
        <d v="2020-12-12T00:00:00"/>
        <d v="2020-04-09T00:00:00"/>
        <d v="2011-06-08T00:00:00"/>
        <d v="2016-08-17T00:00:00"/>
        <d v="2021-05-31T00:00:00"/>
        <d v="2016-05-04T00:00:00"/>
        <d v="2019-12-09T00:00:00"/>
        <d v="2012-07-25T00:00:00"/>
        <d v="2014-04-15T00:00:00"/>
        <d v="2021-10-07T00:00:00"/>
        <d v="2013-04-28T00:00:00"/>
        <d v="2018-12-28T00:00:00"/>
        <d v="2018-07-14T00:00:00"/>
        <d v="2021-06-20T00:00:00"/>
        <d v="2021-03-19T00:00:00"/>
        <d v="2012-07-21T00:00:00"/>
        <d v="2019-12-18T00:00:00"/>
        <d v="2019-11-03T00:00:00"/>
        <d v="2014-11-14T00:00:00"/>
        <d v="2004-03-18T00:00:00"/>
        <d v="2012-09-06T00:00:00"/>
        <d v="2019-11-17T00:00:00"/>
        <d v="2017-01-11T00:00:00"/>
        <d v="2021-05-05T00:00:00"/>
        <d v="2011-12-25T00:00:00"/>
        <d v="2015-07-08T00:00:00"/>
        <d v="2020-03-16T00:00:00"/>
        <d v="2020-05-02T00:00:00"/>
        <d v="2011-01-17T00:00:00"/>
        <d v="2015-02-25T00:00:00"/>
        <d v="2007-01-23T00:00:00"/>
        <d v="2015-07-09T00:00:00"/>
        <d v="2019-09-15T00:00:00"/>
        <d v="2017-12-30T00:00:00"/>
        <d v="2021-02-18T00:00:00"/>
        <d v="2021-12-15T00:00:00"/>
        <d v="2015-05-13T00:00:00"/>
        <d v="2021-06-19T00:00:00"/>
        <d v="2021-02-28T00:00:00"/>
        <d v="2012-05-16T00:00:00"/>
        <d v="2018-09-22T00:00:00"/>
        <d v="2020-10-24T00:00:00"/>
        <d v="2008-01-01T00:00:00"/>
        <d v="2020-07-30T00:00:00"/>
        <d v="2011-04-18T00:00:00"/>
        <d v="2016-09-03T00:00:00"/>
        <d v="2010-09-12T00:00:00"/>
        <d v="2020-07-09T00:00:00"/>
        <d v="2013-06-17T00:00:00"/>
        <d v="2019-07-04T00:00:00"/>
        <d v="2021-05-27T00:00:00"/>
        <d v="2013-10-14T00:00:00"/>
        <d v="2021-09-25T00:00:00"/>
        <d v="2019-12-22T00:00:00"/>
        <d v="2012-10-15T00:00:00"/>
        <d v="2021-06-11T00:00:00"/>
        <d v="2017-10-18T00:00:00"/>
        <d v="2013-09-08T00:00:00"/>
        <d v="2012-02-16T00:00:00"/>
        <d v="2006-02-14T00:00:00"/>
        <d v="2021-12-16T00:00:00"/>
        <d v="2008-06-25T00:00:00"/>
        <d v="2019-09-27T00:00:00"/>
        <d v="2005-11-30T00:00:00"/>
        <d v="2020-08-26T00:00:00"/>
        <d v="2018-11-12T00:00:00"/>
        <d v="2021-09-18T00:00:00"/>
        <d v="2019-01-03T00:00:00"/>
        <d v="2014-11-02T00:00:00"/>
        <d v="2009-05-02T00:00:00"/>
        <d v="2013-09-18T00:00:00"/>
        <d v="2021-02-27T00:00:00"/>
        <d v="2015-08-11T00:00:00"/>
        <d v="2021-07-04T00:00:00"/>
        <d v="2021-09-09T00:00:00"/>
        <d v="2021-03-15T00:00:00"/>
        <d v="2019-04-04T00:00:00"/>
        <d v="2007-11-08T00:00:00"/>
        <d v="2018-01-05T00:00:00"/>
        <d v="2008-07-18T00:00:00"/>
        <d v="2021-01-02T00:00:00"/>
        <d v="2018-03-16T00:00:00"/>
        <d v="2009-06-29T00:00:00"/>
        <d v="2016-03-11T00:00:00"/>
        <d v="2020-09-13T00:00:00"/>
        <d v="2014-10-10T00:00:00"/>
        <d v="2020-07-19T00:00:00"/>
        <d v="2014-05-29T00:00:00"/>
        <d v="2021-11-13T00:00:00"/>
        <d v="2020-06-14T00:00:00"/>
        <d v="2013-08-13T00:00:00"/>
        <d v="2019-05-18T00:00:00"/>
        <d v="2013-11-09T00:00:00"/>
        <d v="2019-08-20T00:00:00"/>
        <d v="2021-08-29T00:00:00"/>
        <d v="2008-11-19T00:00:00"/>
        <d v="2018-08-24T00:00:00"/>
        <d v="2020-02-17T00:00:00"/>
        <d v="2019-07-16T00:00:00"/>
        <d v="2018-11-21T00:00:00"/>
        <d v="2004-07-12T00:00:00"/>
        <d v="2019-09-18T00:00:00"/>
        <d v="2009-12-20T00:00:00"/>
        <d v="2013-12-29T00:00:00"/>
        <d v="2013-12-11T00:00:00"/>
        <d v="2021-07-20T00:00:00"/>
        <d v="2019-06-20T00:00:00"/>
        <d v="2018-11-15T00:00:00"/>
        <d v="2020-08-29T00:00:00"/>
        <d v="2019-02-13T00:00:00"/>
        <d v="2021-10-15T00:00:00"/>
        <d v="2020-12-26T00:00:00"/>
        <d v="2016-08-22T00:00:00"/>
        <d v="2019-10-17T00:00:00"/>
        <d v="2020-09-03T00:00:00"/>
        <d v="2015-06-24T00:00:00"/>
        <d v="2015-04-02T00:00:00"/>
        <d v="2008-10-03T00:00:00"/>
        <d v="2017-05-29T00:00:00"/>
        <d v="2021-08-07T00:00:00"/>
        <d v="2020-04-13T00:00:00"/>
        <d v="2018-09-15T00:00:00"/>
        <d v="2012-12-21T00:00:00"/>
        <d v="2009-11-12T00:00:00"/>
        <d v="2014-03-20T00:00:00"/>
        <d v="2014-08-11T00:00:00"/>
        <d v="2021-11-21T00:00:00"/>
        <d v="2019-05-25T00:00:00"/>
        <d v="2011-01-26T00:00:00"/>
        <d v="2015-10-12T00:00:00"/>
        <d v="2021-11-18T00:00:00"/>
        <d v="2006-04-17T00:00:00"/>
        <d v="2016-02-22T00:00:00"/>
        <d v="2021-11-14T00:00:00"/>
        <d v="2019-09-06T00:00:00"/>
        <d v="2021-01-20T00:00:00"/>
        <d v="2018-03-04T00:00:00"/>
        <d v="2021-10-06T00:00:00"/>
        <d v="2021-09-08T00:00:00"/>
        <d v="2011-11-05T00:00:00"/>
        <d v="2017-08-08T00:00:00"/>
        <d v="2012-04-12T00:00:00"/>
        <d v="2008-05-09T00:00:00"/>
      </sharedItems>
      <fieldGroup par="6" base="2">
        <rangePr groupBy="months" startDate="2003-10-09T00:00:00" endDate="2022-01-0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22"/>
        </groupItems>
      </fieldGroup>
    </cacheField>
    <cacheField name="Reason" numFmtId="0">
      <sharedItems containsBlank="1" count="9">
        <m/>
        <s v="Salary"/>
        <s v="Involuntary"/>
        <s v="Retired"/>
        <s v="Relocated"/>
        <s v="Dissatisfied with duties"/>
        <s v="Health"/>
        <s v="More hours"/>
        <s v="Promotion"/>
      </sharedItems>
    </cacheField>
    <cacheField name="90Days" numFmtId="0">
      <sharedItems count="2">
        <b v="0"/>
        <b v="1"/>
      </sharedItems>
    </cacheField>
    <cacheField name="Quarters" numFmtId="0" databaseField="0">
      <fieldGroup base="2">
        <rangePr groupBy="quarters" startDate="2003-10-09T00:00:00" endDate="2022-01-01T00:00:00"/>
        <groupItems count="6">
          <s v="&lt;10/9/2003"/>
          <s v="Qtr1"/>
          <s v="Qtr2"/>
          <s v="Qtr3"/>
          <s v="Qtr4"/>
          <s v="&gt;1/1/2022"/>
        </groupItems>
      </fieldGroup>
    </cacheField>
    <cacheField name="Years" numFmtId="0" databaseField="0">
      <fieldGroup base="2">
        <rangePr groupBy="years" startDate="2003-10-09T00:00:00" endDate="2022-01-01T00:00:00"/>
        <groupItems count="22">
          <s v="&lt;10/9/2003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1/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ck Kusleika" refreshedDate="43976.306186458336" createdVersion="6" refreshedVersion="6" minRefreshableVersion="3" recordCount="120" xr:uid="{65C068CB-E9E9-45F4-94C4-E01705B64AAF}">
  <cacheSource type="worksheet">
    <worksheetSource name="tblVacancy"/>
  </cacheSource>
  <cacheFields count="11">
    <cacheField name="Job" numFmtId="0">
      <sharedItems/>
    </cacheField>
    <cacheField name="Department" numFmtId="0">
      <sharedItems/>
    </cacheField>
    <cacheField name="Vacant" numFmtId="14">
      <sharedItems containsSemiMixedTypes="0" containsNonDate="0" containsDate="1" containsString="0" minDate="2017-01-04T00:00:00" maxDate="2021-11-24T00:00:00"/>
    </cacheField>
    <cacheField name="Filled" numFmtId="14">
      <sharedItems containsSemiMixedTypes="0" containsNonDate="0" containsDate="1" containsString="0" minDate="2017-01-22T00:00:00" maxDate="2021-12-24T00:00:00" count="118">
        <d v="2017-01-22T00:00:00"/>
        <d v="2017-01-28T00:00:00"/>
        <d v="2017-02-01T00:00:00"/>
        <d v="2017-04-13T00:00:00"/>
        <d v="2017-05-13T00:00:00"/>
        <d v="2017-05-15T00:00:00"/>
        <d v="2017-06-25T00:00:00"/>
        <d v="2017-07-14T00:00:00"/>
        <d v="2017-07-18T00:00:00"/>
        <d v="2017-07-21T00:00:00"/>
        <d v="2017-08-29T00:00:00"/>
        <d v="2017-09-08T00:00:00"/>
        <d v="2017-10-04T00:00:00"/>
        <d v="2017-10-20T00:00:00"/>
        <d v="2017-10-27T00:00:00"/>
        <d v="2017-11-11T00:00:00"/>
        <d v="2017-12-06T00:00:00"/>
        <d v="2017-12-08T00:00:00"/>
        <d v="2017-12-15T00:00:00"/>
        <d v="2018-01-07T00:00:00"/>
        <d v="2018-01-18T00:00:00"/>
        <d v="2018-02-05T00:00:00"/>
        <d v="2018-03-03T00:00:00"/>
        <d v="2018-03-31T00:00:00"/>
        <d v="2018-04-11T00:00:00"/>
        <d v="2018-05-20T00:00:00"/>
        <d v="2018-05-31T00:00:00"/>
        <d v="2018-06-07T00:00:00"/>
        <d v="2018-06-12T00:00:00"/>
        <d v="2018-07-04T00:00:00"/>
        <d v="2018-07-25T00:00:00"/>
        <d v="2018-09-16T00:00:00"/>
        <d v="2018-09-28T00:00:00"/>
        <d v="2018-10-18T00:00:00"/>
        <d v="2018-12-05T00:00:00"/>
        <d v="2018-12-17T00:00:00"/>
        <d v="2018-12-21T00:00:00"/>
        <d v="2019-01-19T00:00:00"/>
        <d v="2019-01-22T00:00:00"/>
        <d v="2019-01-25T00:00:00"/>
        <d v="2019-01-27T00:00:00"/>
        <d v="2019-01-30T00:00:00"/>
        <d v="2019-02-18T00:00:00"/>
        <d v="2019-02-20T00:00:00"/>
        <d v="2019-03-20T00:00:00"/>
        <d v="2019-05-19T00:00:00"/>
        <d v="2019-05-26T00:00:00"/>
        <d v="2019-06-06T00:00:00"/>
        <d v="2019-06-10T00:00:00"/>
        <d v="2019-06-18T00:00:00"/>
        <d v="2019-06-27T00:00:00"/>
        <d v="2019-07-07T00:00:00"/>
        <d v="2019-07-27T00:00:00"/>
        <d v="2019-08-04T00:00:00"/>
        <d v="2019-08-05T00:00:00"/>
        <d v="2019-08-24T00:00:00"/>
        <d v="2019-09-08T00:00:00"/>
        <d v="2019-09-19T00:00:00"/>
        <d v="2019-09-25T00:00:00"/>
        <d v="2019-10-06T00:00:00"/>
        <d v="2019-10-09T00:00:00"/>
        <d v="2019-10-20T00:00:00"/>
        <d v="2019-10-26T00:00:00"/>
        <d v="2019-10-28T00:00:00"/>
        <d v="2019-11-09T00:00:00"/>
        <d v="2019-11-11T00:00:00"/>
        <d v="2019-11-16T00:00:00"/>
        <d v="2020-01-04T00:00:00"/>
        <d v="2020-02-20T00:00:00"/>
        <d v="2020-02-22T00:00:00"/>
        <d v="2020-03-04T00:00:00"/>
        <d v="2020-03-22T00:00:00"/>
        <d v="2020-04-03T00:00:00"/>
        <d v="2020-04-04T00:00:00"/>
        <d v="2020-05-18T00:00:00"/>
        <d v="2020-06-07T00:00:00"/>
        <d v="2020-06-10T00:00:00"/>
        <d v="2020-07-05T00:00:00"/>
        <d v="2020-07-18T00:00:00"/>
        <d v="2020-07-21T00:00:00"/>
        <d v="2020-08-22T00:00:00"/>
        <d v="2020-08-26T00:00:00"/>
        <d v="2020-09-16T00:00:00"/>
        <d v="2020-10-02T00:00:00"/>
        <d v="2020-10-04T00:00:00"/>
        <d v="2020-10-09T00:00:00"/>
        <d v="2020-10-28T00:00:00"/>
        <d v="2020-11-03T00:00:00"/>
        <d v="2020-11-17T00:00:00"/>
        <d v="2020-11-23T00:00:00"/>
        <d v="2021-01-23T00:00:00"/>
        <d v="2021-01-30T00:00:00"/>
        <d v="2021-02-08T00:00:00"/>
        <d v="2021-02-09T00:00:00"/>
        <d v="2021-02-10T00:00:00"/>
        <d v="2021-03-09T00:00:00"/>
        <d v="2021-03-18T00:00:00"/>
        <d v="2021-04-19T00:00:00"/>
        <d v="2021-04-27T00:00:00"/>
        <d v="2021-04-28T00:00:00"/>
        <d v="2021-05-02T00:00:00"/>
        <d v="2021-05-17T00:00:00"/>
        <d v="2021-05-29T00:00:00"/>
        <d v="2021-06-26T00:00:00"/>
        <d v="2021-06-30T00:00:00"/>
        <d v="2021-07-27T00:00:00"/>
        <d v="2021-08-20T00:00:00"/>
        <d v="2021-09-04T00:00:00"/>
        <d v="2021-10-03T00:00:00"/>
        <d v="2021-10-09T00:00:00"/>
        <d v="2021-10-17T00:00:00"/>
        <d v="2021-11-18T00:00:00"/>
        <d v="2021-11-19T00:00:00"/>
        <d v="2021-11-26T00:00:00"/>
        <d v="2021-11-29T00:00:00"/>
        <d v="2021-12-06T00:00:00"/>
        <d v="2021-12-20T00:00:00"/>
        <d v="2021-12-23T00:00:00"/>
      </sharedItems>
      <fieldGroup par="10" base="3">
        <rangePr groupBy="months" startDate="2017-01-22T00:00:00" endDate="2021-12-24T00:00:00"/>
        <groupItems count="14">
          <s v="&lt;1/22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4/2021"/>
        </groupItems>
      </fieldGroup>
    </cacheField>
    <cacheField name="Gender" numFmtId="0">
      <sharedItems count="2">
        <s v="Male"/>
        <s v="Female"/>
      </sharedItems>
    </cacheField>
    <cacheField name="Race" numFmtId="0">
      <sharedItems count="5">
        <s v="White"/>
        <s v="Black"/>
        <s v="Hispanic"/>
        <s v="Other"/>
        <s v="Asian"/>
      </sharedItems>
    </cacheField>
    <cacheField name="Applicants" numFmtId="0">
      <sharedItems containsSemiMixedTypes="0" containsString="0" containsNumber="1" containsInteger="1" minValue="14" maxValue="80"/>
    </cacheField>
    <cacheField name="CurrentYear" numFmtId="0">
      <sharedItems count="2">
        <b v="0"/>
        <b v="1"/>
      </sharedItems>
    </cacheField>
    <cacheField name="Days" numFmtId="0">
      <sharedItems containsSemiMixedTypes="0" containsString="0" containsNumber="1" containsInteger="1" minValue="2" maxValue="54"/>
    </cacheField>
    <cacheField name="Quarters" numFmtId="0" databaseField="0">
      <fieldGroup base="3">
        <rangePr groupBy="quarters" startDate="2017-01-22T00:00:00" endDate="2021-12-24T00:00:00"/>
        <groupItems count="6">
          <s v="&lt;1/22/2017"/>
          <s v="Qtr1"/>
          <s v="Qtr2"/>
          <s v="Qtr3"/>
          <s v="Qtr4"/>
          <s v="&gt;12/24/2021"/>
        </groupItems>
      </fieldGroup>
    </cacheField>
    <cacheField name="Years" numFmtId="0" databaseField="0">
      <fieldGroup base="3">
        <rangePr groupBy="years" startDate="2017-01-22T00:00:00" endDate="2021-12-24T00:00:00"/>
        <groupItems count="7">
          <s v="&lt;1/22/2017"/>
          <s v="2017"/>
          <s v="2018"/>
          <s v="2019"/>
          <s v="2020"/>
          <s v="2021"/>
          <s v="&gt;12/24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1">
  <r>
    <n v="1002"/>
    <d v="2020-10-04T00:00:00"/>
    <x v="0"/>
    <x v="0"/>
    <x v="0"/>
  </r>
  <r>
    <n v="1021"/>
    <d v="2004-08-28T00:00:00"/>
    <x v="0"/>
    <x v="0"/>
    <x v="0"/>
  </r>
  <r>
    <n v="1022"/>
    <d v="2019-03-03T00:00:00"/>
    <x v="0"/>
    <x v="0"/>
    <x v="0"/>
  </r>
  <r>
    <n v="1024"/>
    <d v="2014-09-17T00:00:00"/>
    <x v="0"/>
    <x v="0"/>
    <x v="0"/>
  </r>
  <r>
    <n v="1029"/>
    <d v="2015-02-05T00:00:00"/>
    <x v="0"/>
    <x v="0"/>
    <x v="0"/>
  </r>
  <r>
    <n v="1034"/>
    <d v="2004-12-12T00:00:00"/>
    <x v="0"/>
    <x v="0"/>
    <x v="0"/>
  </r>
  <r>
    <n v="1035"/>
    <d v="2002-10-10T00:00:00"/>
    <x v="0"/>
    <x v="0"/>
    <x v="0"/>
  </r>
  <r>
    <n v="1036"/>
    <d v="2006-09-26T00:00:00"/>
    <x v="0"/>
    <x v="0"/>
    <x v="0"/>
  </r>
  <r>
    <n v="1045"/>
    <d v="2005-11-06T00:00:00"/>
    <x v="0"/>
    <x v="0"/>
    <x v="0"/>
  </r>
  <r>
    <n v="1070"/>
    <d v="2016-07-11T00:00:00"/>
    <x v="0"/>
    <x v="0"/>
    <x v="0"/>
  </r>
  <r>
    <n v="1080"/>
    <d v="2018-03-28T00:00:00"/>
    <x v="0"/>
    <x v="0"/>
    <x v="0"/>
  </r>
  <r>
    <n v="1084"/>
    <d v="2006-07-03T00:00:00"/>
    <x v="0"/>
    <x v="0"/>
    <x v="0"/>
  </r>
  <r>
    <n v="1092"/>
    <d v="2005-12-17T00:00:00"/>
    <x v="1"/>
    <x v="1"/>
    <x v="0"/>
  </r>
  <r>
    <n v="1115"/>
    <d v="2020-03-13T00:00:00"/>
    <x v="2"/>
    <x v="2"/>
    <x v="0"/>
  </r>
  <r>
    <n v="1122"/>
    <d v="2016-08-13T00:00:00"/>
    <x v="0"/>
    <x v="0"/>
    <x v="0"/>
  </r>
  <r>
    <n v="1127"/>
    <d v="2010-02-20T00:00:00"/>
    <x v="0"/>
    <x v="0"/>
    <x v="0"/>
  </r>
  <r>
    <n v="1131"/>
    <d v="2017-06-21T00:00:00"/>
    <x v="0"/>
    <x v="0"/>
    <x v="0"/>
  </r>
  <r>
    <n v="1140"/>
    <d v="2002-07-01T00:00:00"/>
    <x v="0"/>
    <x v="0"/>
    <x v="0"/>
  </r>
  <r>
    <n v="1141"/>
    <d v="2020-09-13T00:00:00"/>
    <x v="0"/>
    <x v="0"/>
    <x v="0"/>
  </r>
  <r>
    <n v="1145"/>
    <d v="2020-12-30T00:00:00"/>
    <x v="0"/>
    <x v="0"/>
    <x v="0"/>
  </r>
  <r>
    <n v="1146"/>
    <d v="2005-07-16T00:00:00"/>
    <x v="0"/>
    <x v="0"/>
    <x v="0"/>
  </r>
  <r>
    <n v="1152"/>
    <d v="2009-11-22T00:00:00"/>
    <x v="0"/>
    <x v="0"/>
    <x v="0"/>
  </r>
  <r>
    <n v="1159"/>
    <d v="2008-11-01T00:00:00"/>
    <x v="0"/>
    <x v="0"/>
    <x v="0"/>
  </r>
  <r>
    <n v="1168"/>
    <d v="2010-07-24T00:00:00"/>
    <x v="3"/>
    <x v="3"/>
    <x v="0"/>
  </r>
  <r>
    <n v="1169"/>
    <d v="2011-09-19T00:00:00"/>
    <x v="4"/>
    <x v="3"/>
    <x v="0"/>
  </r>
  <r>
    <n v="1173"/>
    <d v="2007-04-04T00:00:00"/>
    <x v="0"/>
    <x v="0"/>
    <x v="0"/>
  </r>
  <r>
    <n v="1203"/>
    <d v="2014-01-01T00:00:00"/>
    <x v="5"/>
    <x v="1"/>
    <x v="0"/>
  </r>
  <r>
    <n v="1216"/>
    <d v="2015-12-16T00:00:00"/>
    <x v="0"/>
    <x v="0"/>
    <x v="0"/>
  </r>
  <r>
    <n v="1236"/>
    <d v="2010-02-27T00:00:00"/>
    <x v="0"/>
    <x v="0"/>
    <x v="0"/>
  </r>
  <r>
    <n v="1254"/>
    <d v="2007-01-10T00:00:00"/>
    <x v="6"/>
    <x v="4"/>
    <x v="0"/>
  </r>
  <r>
    <n v="1259"/>
    <d v="2010-01-31T00:00:00"/>
    <x v="0"/>
    <x v="0"/>
    <x v="0"/>
  </r>
  <r>
    <n v="1261"/>
    <d v="2014-02-24T00:00:00"/>
    <x v="0"/>
    <x v="0"/>
    <x v="0"/>
  </r>
  <r>
    <n v="1264"/>
    <d v="2010-02-15T00:00:00"/>
    <x v="0"/>
    <x v="0"/>
    <x v="0"/>
  </r>
  <r>
    <n v="1272"/>
    <d v="2017-04-23T00:00:00"/>
    <x v="0"/>
    <x v="0"/>
    <x v="0"/>
  </r>
  <r>
    <n v="1278"/>
    <d v="2005-05-01T00:00:00"/>
    <x v="7"/>
    <x v="3"/>
    <x v="1"/>
  </r>
  <r>
    <n v="1280"/>
    <d v="2019-12-05T00:00:00"/>
    <x v="0"/>
    <x v="0"/>
    <x v="0"/>
  </r>
  <r>
    <n v="1283"/>
    <d v="2010-08-15T00:00:00"/>
    <x v="0"/>
    <x v="0"/>
    <x v="0"/>
  </r>
  <r>
    <n v="1288"/>
    <d v="2015-05-29T00:00:00"/>
    <x v="8"/>
    <x v="5"/>
    <x v="0"/>
  </r>
  <r>
    <n v="1294"/>
    <d v="2005-08-19T00:00:00"/>
    <x v="0"/>
    <x v="0"/>
    <x v="0"/>
  </r>
  <r>
    <n v="1303"/>
    <d v="2016-11-24T00:00:00"/>
    <x v="0"/>
    <x v="0"/>
    <x v="0"/>
  </r>
  <r>
    <n v="1318"/>
    <d v="2019-12-27T00:00:00"/>
    <x v="9"/>
    <x v="5"/>
    <x v="1"/>
  </r>
  <r>
    <n v="1320"/>
    <d v="2007-11-05T00:00:00"/>
    <x v="0"/>
    <x v="0"/>
    <x v="0"/>
  </r>
  <r>
    <n v="1330"/>
    <d v="2017-08-28T00:00:00"/>
    <x v="0"/>
    <x v="0"/>
    <x v="0"/>
  </r>
  <r>
    <n v="1341"/>
    <d v="2006-06-23T00:00:00"/>
    <x v="10"/>
    <x v="4"/>
    <x v="0"/>
  </r>
  <r>
    <n v="1343"/>
    <d v="2016-11-27T00:00:00"/>
    <x v="0"/>
    <x v="0"/>
    <x v="0"/>
  </r>
  <r>
    <n v="1347"/>
    <d v="2010-04-21T00:00:00"/>
    <x v="0"/>
    <x v="0"/>
    <x v="0"/>
  </r>
  <r>
    <n v="1351"/>
    <d v="2019-03-19T00:00:00"/>
    <x v="0"/>
    <x v="0"/>
    <x v="0"/>
  </r>
  <r>
    <n v="1358"/>
    <d v="2002-02-23T00:00:00"/>
    <x v="0"/>
    <x v="0"/>
    <x v="0"/>
  </r>
  <r>
    <n v="1362"/>
    <d v="2017-01-19T00:00:00"/>
    <x v="0"/>
    <x v="0"/>
    <x v="0"/>
  </r>
  <r>
    <n v="1380"/>
    <d v="2005-12-11T00:00:00"/>
    <x v="0"/>
    <x v="0"/>
    <x v="0"/>
  </r>
  <r>
    <n v="1386"/>
    <d v="2019-06-19T00:00:00"/>
    <x v="0"/>
    <x v="0"/>
    <x v="0"/>
  </r>
  <r>
    <n v="1388"/>
    <d v="2006-10-02T00:00:00"/>
    <x v="0"/>
    <x v="0"/>
    <x v="0"/>
  </r>
  <r>
    <n v="1395"/>
    <d v="2009-01-05T00:00:00"/>
    <x v="0"/>
    <x v="0"/>
    <x v="0"/>
  </r>
  <r>
    <n v="1397"/>
    <d v="2005-10-04T00:00:00"/>
    <x v="0"/>
    <x v="0"/>
    <x v="0"/>
  </r>
  <r>
    <n v="1400"/>
    <d v="2021-06-12T00:00:00"/>
    <x v="11"/>
    <x v="6"/>
    <x v="0"/>
  </r>
  <r>
    <n v="1402"/>
    <d v="2008-07-15T00:00:00"/>
    <x v="0"/>
    <x v="0"/>
    <x v="0"/>
  </r>
  <r>
    <n v="1404"/>
    <d v="2006-01-22T00:00:00"/>
    <x v="0"/>
    <x v="0"/>
    <x v="0"/>
  </r>
  <r>
    <n v="1410"/>
    <d v="2020-08-04T00:00:00"/>
    <x v="0"/>
    <x v="0"/>
    <x v="0"/>
  </r>
  <r>
    <n v="1420"/>
    <d v="2014-02-26T00:00:00"/>
    <x v="0"/>
    <x v="0"/>
    <x v="0"/>
  </r>
  <r>
    <n v="1426"/>
    <d v="2015-09-28T00:00:00"/>
    <x v="0"/>
    <x v="0"/>
    <x v="0"/>
  </r>
  <r>
    <n v="1433"/>
    <d v="2006-03-31T00:00:00"/>
    <x v="0"/>
    <x v="0"/>
    <x v="0"/>
  </r>
  <r>
    <n v="1437"/>
    <d v="2009-06-05T00:00:00"/>
    <x v="0"/>
    <x v="0"/>
    <x v="0"/>
  </r>
  <r>
    <n v="1447"/>
    <d v="2014-06-24T00:00:00"/>
    <x v="12"/>
    <x v="7"/>
    <x v="0"/>
  </r>
  <r>
    <n v="1450"/>
    <d v="2012-03-25T00:00:00"/>
    <x v="0"/>
    <x v="0"/>
    <x v="0"/>
  </r>
  <r>
    <n v="1452"/>
    <d v="2013-10-24T00:00:00"/>
    <x v="0"/>
    <x v="0"/>
    <x v="0"/>
  </r>
  <r>
    <n v="1461"/>
    <d v="2013-01-24T00:00:00"/>
    <x v="0"/>
    <x v="0"/>
    <x v="0"/>
  </r>
  <r>
    <n v="1467"/>
    <d v="2003-12-20T00:00:00"/>
    <x v="0"/>
    <x v="0"/>
    <x v="0"/>
  </r>
  <r>
    <n v="1473"/>
    <d v="2014-01-13T00:00:00"/>
    <x v="0"/>
    <x v="0"/>
    <x v="0"/>
  </r>
  <r>
    <n v="1477"/>
    <d v="2014-05-31T00:00:00"/>
    <x v="0"/>
    <x v="0"/>
    <x v="0"/>
  </r>
  <r>
    <n v="1479"/>
    <d v="2012-04-02T00:00:00"/>
    <x v="0"/>
    <x v="0"/>
    <x v="0"/>
  </r>
  <r>
    <n v="1480"/>
    <d v="2005-03-10T00:00:00"/>
    <x v="0"/>
    <x v="0"/>
    <x v="0"/>
  </r>
  <r>
    <n v="1485"/>
    <d v="2005-04-10T00:00:00"/>
    <x v="0"/>
    <x v="0"/>
    <x v="0"/>
  </r>
  <r>
    <n v="1491"/>
    <d v="2007-12-23T00:00:00"/>
    <x v="0"/>
    <x v="0"/>
    <x v="0"/>
  </r>
  <r>
    <n v="1495"/>
    <d v="2010-02-18T00:00:00"/>
    <x v="13"/>
    <x v="6"/>
    <x v="0"/>
  </r>
  <r>
    <n v="1500"/>
    <d v="2014-12-09T00:00:00"/>
    <x v="0"/>
    <x v="0"/>
    <x v="0"/>
  </r>
  <r>
    <n v="1506"/>
    <d v="2015-04-01T00:00:00"/>
    <x v="0"/>
    <x v="0"/>
    <x v="0"/>
  </r>
  <r>
    <n v="1508"/>
    <d v="2018-12-27T00:00:00"/>
    <x v="14"/>
    <x v="3"/>
    <x v="0"/>
  </r>
  <r>
    <n v="1510"/>
    <d v="2008-12-09T00:00:00"/>
    <x v="0"/>
    <x v="0"/>
    <x v="0"/>
  </r>
  <r>
    <n v="1515"/>
    <d v="2018-10-10T00:00:00"/>
    <x v="0"/>
    <x v="0"/>
    <x v="0"/>
  </r>
  <r>
    <n v="1517"/>
    <d v="2011-09-09T00:00:00"/>
    <x v="0"/>
    <x v="0"/>
    <x v="0"/>
  </r>
  <r>
    <n v="1518"/>
    <d v="2004-08-12T00:00:00"/>
    <x v="15"/>
    <x v="1"/>
    <x v="0"/>
  </r>
  <r>
    <n v="1528"/>
    <d v="2018-02-19T00:00:00"/>
    <x v="0"/>
    <x v="0"/>
    <x v="0"/>
  </r>
  <r>
    <n v="1529"/>
    <d v="2008-10-18T00:00:00"/>
    <x v="16"/>
    <x v="5"/>
    <x v="0"/>
  </r>
  <r>
    <n v="1530"/>
    <d v="2002-02-01T00:00:00"/>
    <x v="0"/>
    <x v="0"/>
    <x v="0"/>
  </r>
  <r>
    <n v="1531"/>
    <d v="2021-12-25T00:00:00"/>
    <x v="17"/>
    <x v="6"/>
    <x v="1"/>
  </r>
  <r>
    <n v="1536"/>
    <d v="2019-11-14T00:00:00"/>
    <x v="0"/>
    <x v="0"/>
    <x v="0"/>
  </r>
  <r>
    <n v="1537"/>
    <d v="2020-07-20T00:00:00"/>
    <x v="0"/>
    <x v="0"/>
    <x v="0"/>
  </r>
  <r>
    <n v="1548"/>
    <d v="2007-10-11T00:00:00"/>
    <x v="0"/>
    <x v="0"/>
    <x v="0"/>
  </r>
  <r>
    <n v="1553"/>
    <d v="2017-06-03T00:00:00"/>
    <x v="0"/>
    <x v="0"/>
    <x v="0"/>
  </r>
  <r>
    <n v="1568"/>
    <d v="2018-12-12T00:00:00"/>
    <x v="0"/>
    <x v="0"/>
    <x v="0"/>
  </r>
  <r>
    <n v="1575"/>
    <d v="2007-08-08T00:00:00"/>
    <x v="18"/>
    <x v="2"/>
    <x v="0"/>
  </r>
  <r>
    <n v="1580"/>
    <d v="2008-09-25T00:00:00"/>
    <x v="19"/>
    <x v="1"/>
    <x v="0"/>
  </r>
  <r>
    <n v="1586"/>
    <d v="2005-09-18T00:00:00"/>
    <x v="0"/>
    <x v="0"/>
    <x v="0"/>
  </r>
  <r>
    <n v="1588"/>
    <d v="2013-05-12T00:00:00"/>
    <x v="0"/>
    <x v="0"/>
    <x v="0"/>
  </r>
  <r>
    <n v="1592"/>
    <d v="2006-08-05T00:00:00"/>
    <x v="0"/>
    <x v="0"/>
    <x v="0"/>
  </r>
  <r>
    <n v="1603"/>
    <d v="2003-08-12T00:00:00"/>
    <x v="0"/>
    <x v="0"/>
    <x v="0"/>
  </r>
  <r>
    <n v="1605"/>
    <d v="2018-04-07T00:00:00"/>
    <x v="0"/>
    <x v="0"/>
    <x v="0"/>
  </r>
  <r>
    <n v="1612"/>
    <d v="2004-03-11T00:00:00"/>
    <x v="0"/>
    <x v="0"/>
    <x v="0"/>
  </r>
  <r>
    <n v="1613"/>
    <d v="2015-08-23T00:00:00"/>
    <x v="0"/>
    <x v="0"/>
    <x v="0"/>
  </r>
  <r>
    <n v="1616"/>
    <d v="2006-06-22T00:00:00"/>
    <x v="0"/>
    <x v="0"/>
    <x v="0"/>
  </r>
  <r>
    <n v="1621"/>
    <d v="2018-05-10T00:00:00"/>
    <x v="0"/>
    <x v="0"/>
    <x v="0"/>
  </r>
  <r>
    <n v="1628"/>
    <d v="2009-10-12T00:00:00"/>
    <x v="0"/>
    <x v="0"/>
    <x v="0"/>
  </r>
  <r>
    <n v="1634"/>
    <d v="2006-07-27T00:00:00"/>
    <x v="0"/>
    <x v="0"/>
    <x v="0"/>
  </r>
  <r>
    <n v="1636"/>
    <d v="2013-09-13T00:00:00"/>
    <x v="0"/>
    <x v="0"/>
    <x v="0"/>
  </r>
  <r>
    <n v="1642"/>
    <d v="2007-03-25T00:00:00"/>
    <x v="20"/>
    <x v="7"/>
    <x v="0"/>
  </r>
  <r>
    <n v="1654"/>
    <d v="2020-03-23T00:00:00"/>
    <x v="0"/>
    <x v="0"/>
    <x v="0"/>
  </r>
  <r>
    <n v="1660"/>
    <d v="2006-01-30T00:00:00"/>
    <x v="0"/>
    <x v="0"/>
    <x v="0"/>
  </r>
  <r>
    <n v="1662"/>
    <d v="2007-08-04T00:00:00"/>
    <x v="0"/>
    <x v="0"/>
    <x v="0"/>
  </r>
  <r>
    <n v="1663"/>
    <d v="2002-01-22T00:00:00"/>
    <x v="0"/>
    <x v="0"/>
    <x v="0"/>
  </r>
  <r>
    <n v="1664"/>
    <d v="2020-10-14T00:00:00"/>
    <x v="0"/>
    <x v="0"/>
    <x v="0"/>
  </r>
  <r>
    <n v="1665"/>
    <d v="2015-12-24T00:00:00"/>
    <x v="21"/>
    <x v="1"/>
    <x v="0"/>
  </r>
  <r>
    <n v="1666"/>
    <d v="2007-11-13T00:00:00"/>
    <x v="0"/>
    <x v="0"/>
    <x v="0"/>
  </r>
  <r>
    <n v="1674"/>
    <d v="2009-12-18T00:00:00"/>
    <x v="0"/>
    <x v="0"/>
    <x v="0"/>
  </r>
  <r>
    <n v="1681"/>
    <d v="2006-04-16T00:00:00"/>
    <x v="0"/>
    <x v="0"/>
    <x v="0"/>
  </r>
  <r>
    <n v="1697"/>
    <d v="2003-09-20T00:00:00"/>
    <x v="0"/>
    <x v="0"/>
    <x v="0"/>
  </r>
  <r>
    <n v="1699"/>
    <d v="2011-04-16T00:00:00"/>
    <x v="0"/>
    <x v="0"/>
    <x v="0"/>
  </r>
  <r>
    <n v="1701"/>
    <d v="2009-12-08T00:00:00"/>
    <x v="0"/>
    <x v="0"/>
    <x v="0"/>
  </r>
  <r>
    <n v="1708"/>
    <d v="2004-10-15T00:00:00"/>
    <x v="0"/>
    <x v="0"/>
    <x v="0"/>
  </r>
  <r>
    <n v="1709"/>
    <d v="2010-07-24T00:00:00"/>
    <x v="0"/>
    <x v="0"/>
    <x v="0"/>
  </r>
  <r>
    <n v="1725"/>
    <d v="2013-04-01T00:00:00"/>
    <x v="0"/>
    <x v="0"/>
    <x v="0"/>
  </r>
  <r>
    <n v="1726"/>
    <d v="2011-10-23T00:00:00"/>
    <x v="0"/>
    <x v="0"/>
    <x v="0"/>
  </r>
  <r>
    <n v="1727"/>
    <d v="2017-10-03T00:00:00"/>
    <x v="0"/>
    <x v="0"/>
    <x v="0"/>
  </r>
  <r>
    <n v="1733"/>
    <d v="2008-10-26T00:00:00"/>
    <x v="0"/>
    <x v="0"/>
    <x v="0"/>
  </r>
  <r>
    <n v="1737"/>
    <d v="2014-01-04T00:00:00"/>
    <x v="0"/>
    <x v="0"/>
    <x v="0"/>
  </r>
  <r>
    <n v="1744"/>
    <d v="2004-05-01T00:00:00"/>
    <x v="0"/>
    <x v="0"/>
    <x v="0"/>
  </r>
  <r>
    <n v="1782"/>
    <d v="2016-09-02T00:00:00"/>
    <x v="0"/>
    <x v="0"/>
    <x v="0"/>
  </r>
  <r>
    <n v="1783"/>
    <d v="2010-09-12T00:00:00"/>
    <x v="0"/>
    <x v="0"/>
    <x v="0"/>
  </r>
  <r>
    <n v="1785"/>
    <d v="2020-09-28T00:00:00"/>
    <x v="0"/>
    <x v="0"/>
    <x v="0"/>
  </r>
  <r>
    <n v="1793"/>
    <d v="2004-01-25T00:00:00"/>
    <x v="22"/>
    <x v="1"/>
    <x v="0"/>
  </r>
  <r>
    <n v="1794"/>
    <d v="2017-06-20T00:00:00"/>
    <x v="0"/>
    <x v="0"/>
    <x v="0"/>
  </r>
  <r>
    <n v="1797"/>
    <d v="2005-01-26T00:00:00"/>
    <x v="0"/>
    <x v="0"/>
    <x v="0"/>
  </r>
  <r>
    <n v="1802"/>
    <d v="2017-12-10T00:00:00"/>
    <x v="23"/>
    <x v="1"/>
    <x v="0"/>
  </r>
  <r>
    <n v="1806"/>
    <d v="2018-03-02T00:00:00"/>
    <x v="0"/>
    <x v="0"/>
    <x v="0"/>
  </r>
  <r>
    <n v="1809"/>
    <d v="2014-12-12T00:00:00"/>
    <x v="0"/>
    <x v="0"/>
    <x v="0"/>
  </r>
  <r>
    <n v="1838"/>
    <d v="2018-08-07T00:00:00"/>
    <x v="24"/>
    <x v="3"/>
    <x v="0"/>
  </r>
  <r>
    <n v="1840"/>
    <d v="2016-08-27T00:00:00"/>
    <x v="25"/>
    <x v="3"/>
    <x v="0"/>
  </r>
  <r>
    <n v="1858"/>
    <d v="2005-11-15T00:00:00"/>
    <x v="0"/>
    <x v="0"/>
    <x v="0"/>
  </r>
  <r>
    <n v="1860"/>
    <d v="2018-11-22T00:00:00"/>
    <x v="0"/>
    <x v="0"/>
    <x v="0"/>
  </r>
  <r>
    <n v="1877"/>
    <d v="2006-03-03T00:00:00"/>
    <x v="0"/>
    <x v="0"/>
    <x v="0"/>
  </r>
  <r>
    <n v="1878"/>
    <d v="2011-03-08T00:00:00"/>
    <x v="0"/>
    <x v="0"/>
    <x v="0"/>
  </r>
  <r>
    <n v="1881"/>
    <d v="2014-04-14T00:00:00"/>
    <x v="0"/>
    <x v="0"/>
    <x v="0"/>
  </r>
  <r>
    <n v="1883"/>
    <d v="2008-11-23T00:00:00"/>
    <x v="0"/>
    <x v="0"/>
    <x v="0"/>
  </r>
  <r>
    <n v="1888"/>
    <d v="2009-06-17T00:00:00"/>
    <x v="0"/>
    <x v="0"/>
    <x v="0"/>
  </r>
  <r>
    <n v="1891"/>
    <d v="2005-10-25T00:00:00"/>
    <x v="0"/>
    <x v="0"/>
    <x v="0"/>
  </r>
  <r>
    <n v="1894"/>
    <d v="2018-01-11T00:00:00"/>
    <x v="0"/>
    <x v="0"/>
    <x v="0"/>
  </r>
  <r>
    <n v="1901"/>
    <d v="2004-10-29T00:00:00"/>
    <x v="0"/>
    <x v="0"/>
    <x v="0"/>
  </r>
  <r>
    <n v="1935"/>
    <d v="2008-11-11T00:00:00"/>
    <x v="0"/>
    <x v="0"/>
    <x v="0"/>
  </r>
  <r>
    <n v="1939"/>
    <d v="2017-12-31T00:00:00"/>
    <x v="0"/>
    <x v="0"/>
    <x v="0"/>
  </r>
  <r>
    <n v="1949"/>
    <d v="2006-05-26T00:00:00"/>
    <x v="0"/>
    <x v="0"/>
    <x v="0"/>
  </r>
  <r>
    <n v="1955"/>
    <d v="2017-04-22T00:00:00"/>
    <x v="0"/>
    <x v="0"/>
    <x v="0"/>
  </r>
  <r>
    <n v="1966"/>
    <d v="2019-11-18T00:00:00"/>
    <x v="26"/>
    <x v="3"/>
    <x v="0"/>
  </r>
  <r>
    <n v="1967"/>
    <d v="2008-11-28T00:00:00"/>
    <x v="0"/>
    <x v="0"/>
    <x v="0"/>
  </r>
  <r>
    <n v="1979"/>
    <d v="2019-06-26T00:00:00"/>
    <x v="0"/>
    <x v="0"/>
    <x v="0"/>
  </r>
  <r>
    <n v="1984"/>
    <d v="2014-07-29T00:00:00"/>
    <x v="0"/>
    <x v="0"/>
    <x v="0"/>
  </r>
  <r>
    <n v="1985"/>
    <d v="2016-08-24T00:00:00"/>
    <x v="0"/>
    <x v="0"/>
    <x v="0"/>
  </r>
  <r>
    <n v="1986"/>
    <d v="2017-11-14T00:00:00"/>
    <x v="9"/>
    <x v="5"/>
    <x v="0"/>
  </r>
  <r>
    <n v="1987"/>
    <d v="2002-07-28T00:00:00"/>
    <x v="0"/>
    <x v="0"/>
    <x v="0"/>
  </r>
  <r>
    <n v="1993"/>
    <d v="2013-06-17T00:00:00"/>
    <x v="0"/>
    <x v="0"/>
    <x v="0"/>
  </r>
  <r>
    <n v="2001"/>
    <d v="2010-03-30T00:00:00"/>
    <x v="0"/>
    <x v="0"/>
    <x v="0"/>
  </r>
  <r>
    <n v="2002"/>
    <d v="2007-02-06T00:00:00"/>
    <x v="0"/>
    <x v="0"/>
    <x v="0"/>
  </r>
  <r>
    <n v="2021"/>
    <d v="2012-09-16T00:00:00"/>
    <x v="0"/>
    <x v="0"/>
    <x v="0"/>
  </r>
  <r>
    <n v="2022"/>
    <d v="2014-08-19T00:00:00"/>
    <x v="0"/>
    <x v="0"/>
    <x v="0"/>
  </r>
  <r>
    <n v="2023"/>
    <d v="2017-03-03T00:00:00"/>
    <x v="0"/>
    <x v="0"/>
    <x v="0"/>
  </r>
  <r>
    <n v="2028"/>
    <d v="2011-07-27T00:00:00"/>
    <x v="0"/>
    <x v="0"/>
    <x v="0"/>
  </r>
  <r>
    <n v="2031"/>
    <d v="2018-07-24T00:00:00"/>
    <x v="0"/>
    <x v="0"/>
    <x v="0"/>
  </r>
  <r>
    <n v="2039"/>
    <d v="2017-07-30T00:00:00"/>
    <x v="0"/>
    <x v="0"/>
    <x v="0"/>
  </r>
  <r>
    <n v="2055"/>
    <d v="2004-11-05T00:00:00"/>
    <x v="0"/>
    <x v="0"/>
    <x v="0"/>
  </r>
  <r>
    <n v="2056"/>
    <d v="2004-07-30T00:00:00"/>
    <x v="0"/>
    <x v="0"/>
    <x v="0"/>
  </r>
  <r>
    <n v="2064"/>
    <d v="2021-09-06T00:00:00"/>
    <x v="27"/>
    <x v="8"/>
    <x v="1"/>
  </r>
  <r>
    <n v="2065"/>
    <d v="2012-05-02T00:00:00"/>
    <x v="0"/>
    <x v="0"/>
    <x v="0"/>
  </r>
  <r>
    <n v="2075"/>
    <d v="2012-08-02T00:00:00"/>
    <x v="0"/>
    <x v="0"/>
    <x v="0"/>
  </r>
  <r>
    <n v="2080"/>
    <d v="2018-11-12T00:00:00"/>
    <x v="0"/>
    <x v="0"/>
    <x v="0"/>
  </r>
  <r>
    <n v="2081"/>
    <d v="2007-12-01T00:00:00"/>
    <x v="0"/>
    <x v="0"/>
    <x v="0"/>
  </r>
  <r>
    <n v="2093"/>
    <d v="2018-08-09T00:00:00"/>
    <x v="0"/>
    <x v="0"/>
    <x v="0"/>
  </r>
  <r>
    <n v="2105"/>
    <d v="2003-01-18T00:00:00"/>
    <x v="28"/>
    <x v="5"/>
    <x v="0"/>
  </r>
  <r>
    <n v="2107"/>
    <d v="2010-06-17T00:00:00"/>
    <x v="0"/>
    <x v="0"/>
    <x v="0"/>
  </r>
  <r>
    <n v="2109"/>
    <d v="2015-03-31T00:00:00"/>
    <x v="0"/>
    <x v="0"/>
    <x v="0"/>
  </r>
  <r>
    <n v="2120"/>
    <d v="2005-04-13T00:00:00"/>
    <x v="0"/>
    <x v="0"/>
    <x v="0"/>
  </r>
  <r>
    <n v="2129"/>
    <d v="2004-03-12T00:00:00"/>
    <x v="29"/>
    <x v="2"/>
    <x v="0"/>
  </r>
  <r>
    <n v="2144"/>
    <d v="2019-11-26T00:00:00"/>
    <x v="0"/>
    <x v="0"/>
    <x v="0"/>
  </r>
  <r>
    <n v="2154"/>
    <d v="2010-05-23T00:00:00"/>
    <x v="30"/>
    <x v="5"/>
    <x v="0"/>
  </r>
  <r>
    <n v="2164"/>
    <d v="2020-10-22T00:00:00"/>
    <x v="0"/>
    <x v="0"/>
    <x v="0"/>
  </r>
  <r>
    <n v="2166"/>
    <d v="2004-08-29T00:00:00"/>
    <x v="31"/>
    <x v="2"/>
    <x v="0"/>
  </r>
  <r>
    <n v="2173"/>
    <d v="2012-05-08T00:00:00"/>
    <x v="0"/>
    <x v="0"/>
    <x v="0"/>
  </r>
  <r>
    <n v="2185"/>
    <d v="2014-04-05T00:00:00"/>
    <x v="0"/>
    <x v="0"/>
    <x v="0"/>
  </r>
  <r>
    <n v="2198"/>
    <d v="2002-10-26T00:00:00"/>
    <x v="0"/>
    <x v="0"/>
    <x v="0"/>
  </r>
  <r>
    <n v="2206"/>
    <d v="2017-05-13T00:00:00"/>
    <x v="0"/>
    <x v="0"/>
    <x v="0"/>
  </r>
  <r>
    <n v="2220"/>
    <d v="2003-03-03T00:00:00"/>
    <x v="0"/>
    <x v="0"/>
    <x v="0"/>
  </r>
  <r>
    <n v="2226"/>
    <d v="2016-10-31T00:00:00"/>
    <x v="0"/>
    <x v="0"/>
    <x v="0"/>
  </r>
  <r>
    <n v="2231"/>
    <d v="2003-07-02T00:00:00"/>
    <x v="0"/>
    <x v="0"/>
    <x v="0"/>
  </r>
  <r>
    <n v="2239"/>
    <d v="2009-09-06T00:00:00"/>
    <x v="0"/>
    <x v="0"/>
    <x v="0"/>
  </r>
  <r>
    <n v="2246"/>
    <d v="2011-10-10T00:00:00"/>
    <x v="32"/>
    <x v="1"/>
    <x v="0"/>
  </r>
  <r>
    <n v="2248"/>
    <d v="2015-07-08T00:00:00"/>
    <x v="0"/>
    <x v="0"/>
    <x v="0"/>
  </r>
  <r>
    <n v="2254"/>
    <d v="2010-04-02T00:00:00"/>
    <x v="0"/>
    <x v="0"/>
    <x v="0"/>
  </r>
  <r>
    <n v="2276"/>
    <d v="2002-09-13T00:00:00"/>
    <x v="0"/>
    <x v="0"/>
    <x v="0"/>
  </r>
  <r>
    <n v="2304"/>
    <d v="2003-11-09T00:00:00"/>
    <x v="0"/>
    <x v="0"/>
    <x v="0"/>
  </r>
  <r>
    <n v="2305"/>
    <d v="2012-06-11T00:00:00"/>
    <x v="0"/>
    <x v="0"/>
    <x v="0"/>
  </r>
  <r>
    <n v="2312"/>
    <d v="2020-05-27T00:00:00"/>
    <x v="0"/>
    <x v="0"/>
    <x v="0"/>
  </r>
  <r>
    <n v="2314"/>
    <d v="2010-04-04T00:00:00"/>
    <x v="0"/>
    <x v="0"/>
    <x v="0"/>
  </r>
  <r>
    <n v="2323"/>
    <d v="2010-10-20T00:00:00"/>
    <x v="33"/>
    <x v="5"/>
    <x v="0"/>
  </r>
  <r>
    <n v="2334"/>
    <d v="2006-03-22T00:00:00"/>
    <x v="0"/>
    <x v="0"/>
    <x v="0"/>
  </r>
  <r>
    <n v="2335"/>
    <d v="2003-05-25T00:00:00"/>
    <x v="0"/>
    <x v="0"/>
    <x v="0"/>
  </r>
  <r>
    <n v="2341"/>
    <d v="2009-03-20T00:00:00"/>
    <x v="0"/>
    <x v="0"/>
    <x v="0"/>
  </r>
  <r>
    <n v="2343"/>
    <d v="2017-08-22T00:00:00"/>
    <x v="0"/>
    <x v="0"/>
    <x v="0"/>
  </r>
  <r>
    <n v="2348"/>
    <d v="2013-09-19T00:00:00"/>
    <x v="0"/>
    <x v="0"/>
    <x v="0"/>
  </r>
  <r>
    <n v="2349"/>
    <d v="2002-05-03T00:00:00"/>
    <x v="0"/>
    <x v="0"/>
    <x v="0"/>
  </r>
  <r>
    <n v="2352"/>
    <d v="2007-04-14T00:00:00"/>
    <x v="0"/>
    <x v="0"/>
    <x v="0"/>
  </r>
  <r>
    <n v="2353"/>
    <d v="2013-04-03T00:00:00"/>
    <x v="0"/>
    <x v="0"/>
    <x v="0"/>
  </r>
  <r>
    <n v="2358"/>
    <d v="2020-09-22T00:00:00"/>
    <x v="0"/>
    <x v="0"/>
    <x v="0"/>
  </r>
  <r>
    <n v="2361"/>
    <d v="2011-11-16T00:00:00"/>
    <x v="0"/>
    <x v="0"/>
    <x v="0"/>
  </r>
  <r>
    <n v="2364"/>
    <d v="2013-01-11T00:00:00"/>
    <x v="0"/>
    <x v="0"/>
    <x v="0"/>
  </r>
  <r>
    <n v="2365"/>
    <d v="2012-05-20T00:00:00"/>
    <x v="0"/>
    <x v="0"/>
    <x v="0"/>
  </r>
  <r>
    <n v="2368"/>
    <d v="2006-05-20T00:00:00"/>
    <x v="0"/>
    <x v="0"/>
    <x v="0"/>
  </r>
  <r>
    <n v="2372"/>
    <d v="2014-04-19T00:00:00"/>
    <x v="34"/>
    <x v="5"/>
    <x v="0"/>
  </r>
  <r>
    <n v="2373"/>
    <d v="2014-08-01T00:00:00"/>
    <x v="0"/>
    <x v="0"/>
    <x v="0"/>
  </r>
  <r>
    <n v="2374"/>
    <d v="2005-11-20T00:00:00"/>
    <x v="35"/>
    <x v="2"/>
    <x v="0"/>
  </r>
  <r>
    <n v="2378"/>
    <d v="2018-01-09T00:00:00"/>
    <x v="0"/>
    <x v="0"/>
    <x v="0"/>
  </r>
  <r>
    <n v="2379"/>
    <d v="2009-07-20T00:00:00"/>
    <x v="36"/>
    <x v="3"/>
    <x v="0"/>
  </r>
  <r>
    <n v="2381"/>
    <d v="2016-09-30T00:00:00"/>
    <x v="37"/>
    <x v="5"/>
    <x v="0"/>
  </r>
  <r>
    <n v="2397"/>
    <d v="2013-06-25T00:00:00"/>
    <x v="38"/>
    <x v="1"/>
    <x v="0"/>
  </r>
  <r>
    <n v="2398"/>
    <d v="2015-10-01T00:00:00"/>
    <x v="0"/>
    <x v="0"/>
    <x v="0"/>
  </r>
  <r>
    <n v="2400"/>
    <d v="2007-05-16T00:00:00"/>
    <x v="0"/>
    <x v="0"/>
    <x v="0"/>
  </r>
  <r>
    <n v="2406"/>
    <d v="2009-02-18T00:00:00"/>
    <x v="0"/>
    <x v="0"/>
    <x v="0"/>
  </r>
  <r>
    <n v="2408"/>
    <d v="2018-03-03T00:00:00"/>
    <x v="0"/>
    <x v="0"/>
    <x v="0"/>
  </r>
  <r>
    <n v="2415"/>
    <d v="2013-10-01T00:00:00"/>
    <x v="0"/>
    <x v="0"/>
    <x v="0"/>
  </r>
  <r>
    <n v="2421"/>
    <d v="2016-04-12T00:00:00"/>
    <x v="0"/>
    <x v="0"/>
    <x v="0"/>
  </r>
  <r>
    <n v="2426"/>
    <d v="2017-08-29T00:00:00"/>
    <x v="0"/>
    <x v="0"/>
    <x v="0"/>
  </r>
  <r>
    <n v="2442"/>
    <d v="2017-06-01T00:00:00"/>
    <x v="39"/>
    <x v="5"/>
    <x v="0"/>
  </r>
  <r>
    <n v="2445"/>
    <d v="2003-04-01T00:00:00"/>
    <x v="40"/>
    <x v="8"/>
    <x v="0"/>
  </r>
  <r>
    <n v="2447"/>
    <d v="2012-08-17T00:00:00"/>
    <x v="0"/>
    <x v="0"/>
    <x v="0"/>
  </r>
  <r>
    <n v="2455"/>
    <d v="2006-02-27T00:00:00"/>
    <x v="0"/>
    <x v="0"/>
    <x v="0"/>
  </r>
  <r>
    <n v="2456"/>
    <d v="2009-04-20T00:00:00"/>
    <x v="0"/>
    <x v="0"/>
    <x v="0"/>
  </r>
  <r>
    <n v="2464"/>
    <d v="2010-09-02T00:00:00"/>
    <x v="41"/>
    <x v="1"/>
    <x v="0"/>
  </r>
  <r>
    <n v="2465"/>
    <d v="2007-12-26T00:00:00"/>
    <x v="0"/>
    <x v="0"/>
    <x v="0"/>
  </r>
  <r>
    <n v="2466"/>
    <d v="2010-03-14T00:00:00"/>
    <x v="0"/>
    <x v="0"/>
    <x v="0"/>
  </r>
  <r>
    <n v="2467"/>
    <d v="2011-12-01T00:00:00"/>
    <x v="0"/>
    <x v="0"/>
    <x v="0"/>
  </r>
  <r>
    <n v="2469"/>
    <d v="2019-06-13T00:00:00"/>
    <x v="42"/>
    <x v="2"/>
    <x v="0"/>
  </r>
  <r>
    <n v="2476"/>
    <d v="2009-07-14T00:00:00"/>
    <x v="43"/>
    <x v="4"/>
    <x v="0"/>
  </r>
  <r>
    <n v="2478"/>
    <d v="2017-09-09T00:00:00"/>
    <x v="0"/>
    <x v="0"/>
    <x v="0"/>
  </r>
  <r>
    <n v="2480"/>
    <d v="2010-05-31T00:00:00"/>
    <x v="0"/>
    <x v="0"/>
    <x v="0"/>
  </r>
  <r>
    <n v="2490"/>
    <d v="2008-11-02T00:00:00"/>
    <x v="0"/>
    <x v="0"/>
    <x v="0"/>
  </r>
  <r>
    <n v="2496"/>
    <d v="2002-03-16T00:00:00"/>
    <x v="0"/>
    <x v="0"/>
    <x v="0"/>
  </r>
  <r>
    <n v="2509"/>
    <d v="2010-06-05T00:00:00"/>
    <x v="0"/>
    <x v="0"/>
    <x v="0"/>
  </r>
  <r>
    <n v="2524"/>
    <d v="2018-08-11T00:00:00"/>
    <x v="0"/>
    <x v="0"/>
    <x v="0"/>
  </r>
  <r>
    <n v="2525"/>
    <d v="2008-04-11T00:00:00"/>
    <x v="0"/>
    <x v="0"/>
    <x v="0"/>
  </r>
  <r>
    <n v="2527"/>
    <d v="2010-06-25T00:00:00"/>
    <x v="44"/>
    <x v="1"/>
    <x v="0"/>
  </r>
  <r>
    <n v="2528"/>
    <d v="2014-12-07T00:00:00"/>
    <x v="0"/>
    <x v="0"/>
    <x v="0"/>
  </r>
  <r>
    <n v="2529"/>
    <d v="2007-05-22T00:00:00"/>
    <x v="0"/>
    <x v="0"/>
    <x v="0"/>
  </r>
  <r>
    <n v="2556"/>
    <d v="2006-10-30T00:00:00"/>
    <x v="45"/>
    <x v="1"/>
    <x v="0"/>
  </r>
  <r>
    <n v="2561"/>
    <d v="2011-08-13T00:00:00"/>
    <x v="46"/>
    <x v="1"/>
    <x v="0"/>
  </r>
  <r>
    <n v="2562"/>
    <d v="2015-05-09T00:00:00"/>
    <x v="47"/>
    <x v="1"/>
    <x v="0"/>
  </r>
  <r>
    <n v="2563"/>
    <d v="2009-02-05T00:00:00"/>
    <x v="0"/>
    <x v="0"/>
    <x v="0"/>
  </r>
  <r>
    <n v="2569"/>
    <d v="2010-03-22T00:00:00"/>
    <x v="0"/>
    <x v="0"/>
    <x v="0"/>
  </r>
  <r>
    <n v="2570"/>
    <d v="2015-04-20T00:00:00"/>
    <x v="0"/>
    <x v="0"/>
    <x v="0"/>
  </r>
  <r>
    <n v="2572"/>
    <d v="2010-07-14T00:00:00"/>
    <x v="0"/>
    <x v="0"/>
    <x v="0"/>
  </r>
  <r>
    <n v="2586"/>
    <d v="2005-02-18T00:00:00"/>
    <x v="0"/>
    <x v="0"/>
    <x v="0"/>
  </r>
  <r>
    <n v="2591"/>
    <d v="2002-08-15T00:00:00"/>
    <x v="0"/>
    <x v="0"/>
    <x v="0"/>
  </r>
  <r>
    <n v="2593"/>
    <d v="2003-06-14T00:00:00"/>
    <x v="0"/>
    <x v="0"/>
    <x v="0"/>
  </r>
  <r>
    <n v="2594"/>
    <d v="2008-05-12T00:00:00"/>
    <x v="0"/>
    <x v="0"/>
    <x v="0"/>
  </r>
  <r>
    <n v="2597"/>
    <d v="2005-03-23T00:00:00"/>
    <x v="0"/>
    <x v="0"/>
    <x v="0"/>
  </r>
  <r>
    <n v="2598"/>
    <d v="2011-11-11T00:00:00"/>
    <x v="0"/>
    <x v="0"/>
    <x v="0"/>
  </r>
  <r>
    <n v="2605"/>
    <d v="2017-01-14T00:00:00"/>
    <x v="0"/>
    <x v="0"/>
    <x v="0"/>
  </r>
  <r>
    <n v="2608"/>
    <d v="2009-07-28T00:00:00"/>
    <x v="0"/>
    <x v="0"/>
    <x v="0"/>
  </r>
  <r>
    <n v="2611"/>
    <d v="2013-02-14T00:00:00"/>
    <x v="0"/>
    <x v="0"/>
    <x v="0"/>
  </r>
  <r>
    <n v="2615"/>
    <d v="2004-04-26T00:00:00"/>
    <x v="48"/>
    <x v="4"/>
    <x v="0"/>
  </r>
  <r>
    <n v="2617"/>
    <d v="2010-04-12T00:00:00"/>
    <x v="0"/>
    <x v="0"/>
    <x v="0"/>
  </r>
  <r>
    <n v="2647"/>
    <d v="2008-04-04T00:00:00"/>
    <x v="0"/>
    <x v="0"/>
    <x v="0"/>
  </r>
  <r>
    <n v="2651"/>
    <d v="2011-10-02T00:00:00"/>
    <x v="0"/>
    <x v="0"/>
    <x v="0"/>
  </r>
  <r>
    <n v="2658"/>
    <d v="2009-01-21T00:00:00"/>
    <x v="49"/>
    <x v="3"/>
    <x v="0"/>
  </r>
  <r>
    <n v="2659"/>
    <d v="2012-04-30T00:00:00"/>
    <x v="0"/>
    <x v="0"/>
    <x v="0"/>
  </r>
  <r>
    <n v="2663"/>
    <d v="2016-02-01T00:00:00"/>
    <x v="50"/>
    <x v="1"/>
    <x v="0"/>
  </r>
  <r>
    <n v="2668"/>
    <d v="2008-10-08T00:00:00"/>
    <x v="0"/>
    <x v="0"/>
    <x v="0"/>
  </r>
  <r>
    <n v="2674"/>
    <d v="2016-04-28T00:00:00"/>
    <x v="0"/>
    <x v="0"/>
    <x v="0"/>
  </r>
  <r>
    <n v="2683"/>
    <d v="2003-08-22T00:00:00"/>
    <x v="0"/>
    <x v="0"/>
    <x v="0"/>
  </r>
  <r>
    <n v="2689"/>
    <d v="2019-02-27T00:00:00"/>
    <x v="51"/>
    <x v="4"/>
    <x v="0"/>
  </r>
  <r>
    <n v="2693"/>
    <d v="2005-10-08T00:00:00"/>
    <x v="0"/>
    <x v="0"/>
    <x v="0"/>
  </r>
  <r>
    <n v="2696"/>
    <d v="2013-01-17T00:00:00"/>
    <x v="0"/>
    <x v="0"/>
    <x v="0"/>
  </r>
  <r>
    <n v="2701"/>
    <d v="2013-08-09T00:00:00"/>
    <x v="0"/>
    <x v="0"/>
    <x v="0"/>
  </r>
  <r>
    <n v="2702"/>
    <d v="2011-11-20T00:00:00"/>
    <x v="0"/>
    <x v="0"/>
    <x v="0"/>
  </r>
  <r>
    <n v="2703"/>
    <d v="2019-04-27T00:00:00"/>
    <x v="0"/>
    <x v="0"/>
    <x v="0"/>
  </r>
  <r>
    <n v="2705"/>
    <d v="2018-12-28T00:00:00"/>
    <x v="0"/>
    <x v="0"/>
    <x v="0"/>
  </r>
  <r>
    <n v="2711"/>
    <d v="2013-08-31T00:00:00"/>
    <x v="0"/>
    <x v="0"/>
    <x v="0"/>
  </r>
  <r>
    <n v="2715"/>
    <d v="2012-11-12T00:00:00"/>
    <x v="0"/>
    <x v="0"/>
    <x v="0"/>
  </r>
  <r>
    <n v="2722"/>
    <d v="2002-11-07T00:00:00"/>
    <x v="0"/>
    <x v="0"/>
    <x v="0"/>
  </r>
  <r>
    <n v="2727"/>
    <d v="2007-01-30T00:00:00"/>
    <x v="0"/>
    <x v="0"/>
    <x v="0"/>
  </r>
  <r>
    <n v="2730"/>
    <d v="2015-10-14T00:00:00"/>
    <x v="52"/>
    <x v="1"/>
    <x v="0"/>
  </r>
  <r>
    <n v="2736"/>
    <d v="2008-06-18T00:00:00"/>
    <x v="0"/>
    <x v="0"/>
    <x v="0"/>
  </r>
  <r>
    <n v="2746"/>
    <d v="2020-10-22T00:00:00"/>
    <x v="0"/>
    <x v="0"/>
    <x v="0"/>
  </r>
  <r>
    <n v="2759"/>
    <d v="2013-04-30T00:00:00"/>
    <x v="0"/>
    <x v="0"/>
    <x v="0"/>
  </r>
  <r>
    <n v="2782"/>
    <d v="2009-05-19T00:00:00"/>
    <x v="0"/>
    <x v="0"/>
    <x v="0"/>
  </r>
  <r>
    <n v="2783"/>
    <d v="2013-10-04T00:00:00"/>
    <x v="53"/>
    <x v="7"/>
    <x v="0"/>
  </r>
  <r>
    <n v="2785"/>
    <d v="2012-05-29T00:00:00"/>
    <x v="0"/>
    <x v="0"/>
    <x v="0"/>
  </r>
  <r>
    <n v="2790"/>
    <d v="2015-04-02T00:00:00"/>
    <x v="0"/>
    <x v="0"/>
    <x v="0"/>
  </r>
  <r>
    <n v="2802"/>
    <d v="2008-03-23T00:00:00"/>
    <x v="0"/>
    <x v="0"/>
    <x v="0"/>
  </r>
  <r>
    <n v="2811"/>
    <d v="2020-04-28T00:00:00"/>
    <x v="0"/>
    <x v="0"/>
    <x v="0"/>
  </r>
  <r>
    <n v="2819"/>
    <d v="2016-04-07T00:00:00"/>
    <x v="0"/>
    <x v="0"/>
    <x v="0"/>
  </r>
  <r>
    <n v="2823"/>
    <d v="2016-09-16T00:00:00"/>
    <x v="54"/>
    <x v="3"/>
    <x v="0"/>
  </r>
  <r>
    <n v="2832"/>
    <d v="2004-01-02T00:00:00"/>
    <x v="55"/>
    <x v="1"/>
    <x v="0"/>
  </r>
  <r>
    <n v="2838"/>
    <d v="2011-05-18T00:00:00"/>
    <x v="0"/>
    <x v="0"/>
    <x v="0"/>
  </r>
  <r>
    <n v="2845"/>
    <d v="2008-09-22T00:00:00"/>
    <x v="0"/>
    <x v="0"/>
    <x v="0"/>
  </r>
  <r>
    <n v="2848"/>
    <d v="2012-02-04T00:00:00"/>
    <x v="0"/>
    <x v="0"/>
    <x v="0"/>
  </r>
  <r>
    <n v="2849"/>
    <d v="2006-01-11T00:00:00"/>
    <x v="0"/>
    <x v="0"/>
    <x v="0"/>
  </r>
  <r>
    <n v="2854"/>
    <d v="2010-12-13T00:00:00"/>
    <x v="0"/>
    <x v="0"/>
    <x v="0"/>
  </r>
  <r>
    <n v="2858"/>
    <d v="2004-02-11T00:00:00"/>
    <x v="0"/>
    <x v="0"/>
    <x v="0"/>
  </r>
  <r>
    <n v="2868"/>
    <d v="2010-01-16T00:00:00"/>
    <x v="0"/>
    <x v="0"/>
    <x v="0"/>
  </r>
  <r>
    <n v="2887"/>
    <d v="2010-11-14T00:00:00"/>
    <x v="0"/>
    <x v="0"/>
    <x v="0"/>
  </r>
  <r>
    <n v="2889"/>
    <d v="2012-09-30T00:00:00"/>
    <x v="0"/>
    <x v="0"/>
    <x v="0"/>
  </r>
  <r>
    <n v="2891"/>
    <d v="2019-09-18T00:00:00"/>
    <x v="0"/>
    <x v="0"/>
    <x v="0"/>
  </r>
  <r>
    <n v="2892"/>
    <d v="2004-07-12T00:00:00"/>
    <x v="0"/>
    <x v="0"/>
    <x v="0"/>
  </r>
  <r>
    <n v="2893"/>
    <d v="2020-05-31T00:00:00"/>
    <x v="0"/>
    <x v="0"/>
    <x v="0"/>
  </r>
  <r>
    <n v="2898"/>
    <d v="2020-02-12T00:00:00"/>
    <x v="0"/>
    <x v="0"/>
    <x v="0"/>
  </r>
  <r>
    <n v="2905"/>
    <d v="2003-08-30T00:00:00"/>
    <x v="0"/>
    <x v="0"/>
    <x v="0"/>
  </r>
  <r>
    <n v="2910"/>
    <d v="2003-07-22T00:00:00"/>
    <x v="0"/>
    <x v="0"/>
    <x v="0"/>
  </r>
  <r>
    <n v="2917"/>
    <d v="2009-09-07T00:00:00"/>
    <x v="0"/>
    <x v="0"/>
    <x v="0"/>
  </r>
  <r>
    <n v="2918"/>
    <d v="2008-04-10T00:00:00"/>
    <x v="0"/>
    <x v="0"/>
    <x v="0"/>
  </r>
  <r>
    <n v="2921"/>
    <d v="2011-05-08T00:00:00"/>
    <x v="0"/>
    <x v="0"/>
    <x v="0"/>
  </r>
  <r>
    <n v="2932"/>
    <d v="2015-04-28T00:00:00"/>
    <x v="0"/>
    <x v="0"/>
    <x v="0"/>
  </r>
  <r>
    <n v="2950"/>
    <d v="2014-02-21T00:00:00"/>
    <x v="0"/>
    <x v="0"/>
    <x v="0"/>
  </r>
  <r>
    <n v="2951"/>
    <d v="2006-11-06T00:00:00"/>
    <x v="56"/>
    <x v="3"/>
    <x v="0"/>
  </r>
  <r>
    <n v="2958"/>
    <d v="2016-03-30T00:00:00"/>
    <x v="0"/>
    <x v="0"/>
    <x v="0"/>
  </r>
  <r>
    <n v="2960"/>
    <d v="2003-04-26T00:00:00"/>
    <x v="0"/>
    <x v="0"/>
    <x v="0"/>
  </r>
  <r>
    <n v="2962"/>
    <d v="2003-05-20T00:00:00"/>
    <x v="57"/>
    <x v="8"/>
    <x v="0"/>
  </r>
  <r>
    <n v="2967"/>
    <d v="2014-12-26T00:00:00"/>
    <x v="0"/>
    <x v="0"/>
    <x v="0"/>
  </r>
  <r>
    <n v="2969"/>
    <d v="2012-03-25T00:00:00"/>
    <x v="0"/>
    <x v="0"/>
    <x v="0"/>
  </r>
  <r>
    <n v="2974"/>
    <d v="2021-02-25T00:00:00"/>
    <x v="58"/>
    <x v="4"/>
    <x v="0"/>
  </r>
  <r>
    <n v="2975"/>
    <d v="2005-03-10T00:00:00"/>
    <x v="0"/>
    <x v="0"/>
    <x v="0"/>
  </r>
  <r>
    <n v="2976"/>
    <d v="2013-05-18T00:00:00"/>
    <x v="0"/>
    <x v="0"/>
    <x v="0"/>
  </r>
  <r>
    <n v="2982"/>
    <d v="2006-07-21T00:00:00"/>
    <x v="0"/>
    <x v="0"/>
    <x v="0"/>
  </r>
  <r>
    <n v="2995"/>
    <d v="2005-06-12T00:00:00"/>
    <x v="0"/>
    <x v="0"/>
    <x v="0"/>
  </r>
  <r>
    <n v="3000"/>
    <d v="2020-11-02T00:00:00"/>
    <x v="0"/>
    <x v="0"/>
    <x v="0"/>
  </r>
  <r>
    <n v="3002"/>
    <d v="2016-06-21T00:00:00"/>
    <x v="0"/>
    <x v="0"/>
    <x v="0"/>
  </r>
  <r>
    <n v="3009"/>
    <d v="2009-09-18T00:00:00"/>
    <x v="0"/>
    <x v="0"/>
    <x v="0"/>
  </r>
  <r>
    <n v="3013"/>
    <d v="2005-02-10T00:00:00"/>
    <x v="0"/>
    <x v="0"/>
    <x v="0"/>
  </r>
  <r>
    <n v="3024"/>
    <d v="2016-09-15T00:00:00"/>
    <x v="0"/>
    <x v="0"/>
    <x v="0"/>
  </r>
  <r>
    <n v="3034"/>
    <d v="2019-12-27T00:00:00"/>
    <x v="59"/>
    <x v="1"/>
    <x v="0"/>
  </r>
  <r>
    <n v="3035"/>
    <d v="2020-05-25T00:00:00"/>
    <x v="0"/>
    <x v="0"/>
    <x v="0"/>
  </r>
  <r>
    <n v="3041"/>
    <d v="2014-08-03T00:00:00"/>
    <x v="0"/>
    <x v="0"/>
    <x v="0"/>
  </r>
  <r>
    <n v="3045"/>
    <d v="2020-12-13T00:00:00"/>
    <x v="0"/>
    <x v="0"/>
    <x v="0"/>
  </r>
  <r>
    <n v="3050"/>
    <d v="2013-01-20T00:00:00"/>
    <x v="0"/>
    <x v="0"/>
    <x v="0"/>
  </r>
  <r>
    <n v="3053"/>
    <d v="2015-12-22T00:00:00"/>
    <x v="0"/>
    <x v="0"/>
    <x v="0"/>
  </r>
  <r>
    <n v="3070"/>
    <d v="2019-05-07T00:00:00"/>
    <x v="0"/>
    <x v="0"/>
    <x v="0"/>
  </r>
  <r>
    <n v="3081"/>
    <d v="2013-10-10T00:00:00"/>
    <x v="0"/>
    <x v="0"/>
    <x v="0"/>
  </r>
  <r>
    <n v="3084"/>
    <d v="2005-12-18T00:00:00"/>
    <x v="60"/>
    <x v="2"/>
    <x v="0"/>
  </r>
  <r>
    <n v="3087"/>
    <d v="2019-10-12T00:00:00"/>
    <x v="0"/>
    <x v="0"/>
    <x v="0"/>
  </r>
  <r>
    <n v="3090"/>
    <d v="2011-07-16T00:00:00"/>
    <x v="61"/>
    <x v="5"/>
    <x v="0"/>
  </r>
  <r>
    <n v="3108"/>
    <d v="2018-11-02T00:00:00"/>
    <x v="0"/>
    <x v="0"/>
    <x v="0"/>
  </r>
  <r>
    <n v="3117"/>
    <d v="2015-01-13T00:00:00"/>
    <x v="0"/>
    <x v="0"/>
    <x v="0"/>
  </r>
  <r>
    <n v="3120"/>
    <d v="2002-05-22T00:00:00"/>
    <x v="0"/>
    <x v="0"/>
    <x v="0"/>
  </r>
  <r>
    <n v="3122"/>
    <d v="2005-05-29T00:00:00"/>
    <x v="0"/>
    <x v="0"/>
    <x v="0"/>
  </r>
  <r>
    <n v="3124"/>
    <d v="2007-08-08T00:00:00"/>
    <x v="0"/>
    <x v="0"/>
    <x v="0"/>
  </r>
  <r>
    <n v="3132"/>
    <d v="2018-08-03T00:00:00"/>
    <x v="0"/>
    <x v="0"/>
    <x v="0"/>
  </r>
  <r>
    <n v="3133"/>
    <d v="2007-07-12T00:00:00"/>
    <x v="0"/>
    <x v="0"/>
    <x v="0"/>
  </r>
  <r>
    <n v="3142"/>
    <d v="2013-04-25T00:00:00"/>
    <x v="62"/>
    <x v="1"/>
    <x v="0"/>
  </r>
  <r>
    <n v="3152"/>
    <d v="2020-01-15T00:00:00"/>
    <x v="0"/>
    <x v="0"/>
    <x v="0"/>
  </r>
  <r>
    <n v="3156"/>
    <d v="2011-10-13T00:00:00"/>
    <x v="63"/>
    <x v="4"/>
    <x v="0"/>
  </r>
  <r>
    <n v="3158"/>
    <d v="2019-03-20T00:00:00"/>
    <x v="0"/>
    <x v="0"/>
    <x v="0"/>
  </r>
  <r>
    <n v="3166"/>
    <d v="2004-11-01T00:00:00"/>
    <x v="64"/>
    <x v="4"/>
    <x v="0"/>
  </r>
  <r>
    <n v="3171"/>
    <d v="2014-08-22T00:00:00"/>
    <x v="51"/>
    <x v="4"/>
    <x v="0"/>
  </r>
  <r>
    <n v="3173"/>
    <d v="2004-08-03T00:00:00"/>
    <x v="0"/>
    <x v="0"/>
    <x v="0"/>
  </r>
  <r>
    <n v="3188"/>
    <d v="2005-08-01T00:00:00"/>
    <x v="65"/>
    <x v="3"/>
    <x v="0"/>
  </r>
  <r>
    <n v="3189"/>
    <d v="2014-03-09T00:00:00"/>
    <x v="66"/>
    <x v="1"/>
    <x v="0"/>
  </r>
  <r>
    <n v="3194"/>
    <d v="2010-07-13T00:00:00"/>
    <x v="0"/>
    <x v="0"/>
    <x v="0"/>
  </r>
  <r>
    <n v="3197"/>
    <d v="2016-07-22T00:00:00"/>
    <x v="67"/>
    <x v="3"/>
    <x v="0"/>
  </r>
  <r>
    <n v="3204"/>
    <d v="2005-09-09T00:00:00"/>
    <x v="0"/>
    <x v="0"/>
    <x v="0"/>
  </r>
  <r>
    <n v="3206"/>
    <d v="2011-02-27T00:00:00"/>
    <x v="0"/>
    <x v="0"/>
    <x v="0"/>
  </r>
  <r>
    <n v="3211"/>
    <d v="2013-11-16T00:00:00"/>
    <x v="0"/>
    <x v="0"/>
    <x v="0"/>
  </r>
  <r>
    <n v="3214"/>
    <d v="2005-01-02T00:00:00"/>
    <x v="68"/>
    <x v="2"/>
    <x v="0"/>
  </r>
  <r>
    <n v="3216"/>
    <d v="2015-12-20T00:00:00"/>
    <x v="0"/>
    <x v="0"/>
    <x v="0"/>
  </r>
  <r>
    <n v="3221"/>
    <d v="2014-11-13T00:00:00"/>
    <x v="0"/>
    <x v="0"/>
    <x v="0"/>
  </r>
  <r>
    <n v="3232"/>
    <d v="2013-06-26T00:00:00"/>
    <x v="69"/>
    <x v="5"/>
    <x v="0"/>
  </r>
  <r>
    <n v="3241"/>
    <d v="2013-05-08T00:00:00"/>
    <x v="0"/>
    <x v="0"/>
    <x v="0"/>
  </r>
  <r>
    <n v="3243"/>
    <d v="2010-07-15T00:00:00"/>
    <x v="0"/>
    <x v="0"/>
    <x v="0"/>
  </r>
  <r>
    <n v="3249"/>
    <d v="2019-03-02T00:00:00"/>
    <x v="0"/>
    <x v="0"/>
    <x v="0"/>
  </r>
  <r>
    <n v="3257"/>
    <d v="2009-06-21T00:00:00"/>
    <x v="0"/>
    <x v="0"/>
    <x v="0"/>
  </r>
  <r>
    <n v="3261"/>
    <d v="2016-05-18T00:00:00"/>
    <x v="0"/>
    <x v="0"/>
    <x v="0"/>
  </r>
  <r>
    <n v="3268"/>
    <d v="2020-07-12T00:00:00"/>
    <x v="70"/>
    <x v="2"/>
    <x v="0"/>
  </r>
  <r>
    <n v="3277"/>
    <d v="2012-11-25T00:00:00"/>
    <x v="0"/>
    <x v="0"/>
    <x v="0"/>
  </r>
  <r>
    <n v="3283"/>
    <d v="2004-04-25T00:00:00"/>
    <x v="0"/>
    <x v="0"/>
    <x v="0"/>
  </r>
  <r>
    <n v="3291"/>
    <d v="2004-06-17T00:00:00"/>
    <x v="0"/>
    <x v="0"/>
    <x v="0"/>
  </r>
  <r>
    <n v="3292"/>
    <d v="2020-12-21T00:00:00"/>
    <x v="0"/>
    <x v="0"/>
    <x v="0"/>
  </r>
  <r>
    <n v="3297"/>
    <d v="2016-01-18T00:00:00"/>
    <x v="0"/>
    <x v="0"/>
    <x v="0"/>
  </r>
  <r>
    <n v="3300"/>
    <d v="2017-05-19T00:00:00"/>
    <x v="0"/>
    <x v="0"/>
    <x v="0"/>
  </r>
  <r>
    <n v="3303"/>
    <d v="2018-04-25T00:00:00"/>
    <x v="0"/>
    <x v="0"/>
    <x v="0"/>
  </r>
  <r>
    <n v="3307"/>
    <d v="2006-12-14T00:00:00"/>
    <x v="71"/>
    <x v="3"/>
    <x v="0"/>
  </r>
  <r>
    <n v="3309"/>
    <d v="2019-02-08T00:00:00"/>
    <x v="0"/>
    <x v="0"/>
    <x v="0"/>
  </r>
  <r>
    <n v="3315"/>
    <d v="2008-01-10T00:00:00"/>
    <x v="72"/>
    <x v="7"/>
    <x v="0"/>
  </r>
  <r>
    <n v="3317"/>
    <d v="2004-06-21T00:00:00"/>
    <x v="0"/>
    <x v="0"/>
    <x v="0"/>
  </r>
  <r>
    <n v="3320"/>
    <d v="2018-01-18T00:00:00"/>
    <x v="0"/>
    <x v="0"/>
    <x v="0"/>
  </r>
  <r>
    <n v="3321"/>
    <d v="2002-06-29T00:00:00"/>
    <x v="0"/>
    <x v="0"/>
    <x v="0"/>
  </r>
  <r>
    <n v="3322"/>
    <d v="2014-09-03T00:00:00"/>
    <x v="0"/>
    <x v="0"/>
    <x v="0"/>
  </r>
  <r>
    <n v="3325"/>
    <d v="2011-09-26T00:00:00"/>
    <x v="73"/>
    <x v="3"/>
    <x v="0"/>
  </r>
  <r>
    <n v="3326"/>
    <d v="2011-07-19T00:00:00"/>
    <x v="0"/>
    <x v="0"/>
    <x v="0"/>
  </r>
  <r>
    <n v="3330"/>
    <d v="2004-11-08T00:00:00"/>
    <x v="0"/>
    <x v="0"/>
    <x v="0"/>
  </r>
  <r>
    <n v="3331"/>
    <d v="2019-02-06T00:00:00"/>
    <x v="0"/>
    <x v="0"/>
    <x v="0"/>
  </r>
  <r>
    <n v="3333"/>
    <d v="2012-12-28T00:00:00"/>
    <x v="0"/>
    <x v="0"/>
    <x v="0"/>
  </r>
  <r>
    <n v="3334"/>
    <d v="2012-08-24T00:00:00"/>
    <x v="0"/>
    <x v="0"/>
    <x v="0"/>
  </r>
  <r>
    <n v="3335"/>
    <d v="2013-08-03T00:00:00"/>
    <x v="0"/>
    <x v="0"/>
    <x v="0"/>
  </r>
  <r>
    <n v="3352"/>
    <d v="2012-10-12T00:00:00"/>
    <x v="0"/>
    <x v="0"/>
    <x v="0"/>
  </r>
  <r>
    <n v="3360"/>
    <d v="2013-12-02T00:00:00"/>
    <x v="0"/>
    <x v="0"/>
    <x v="0"/>
  </r>
  <r>
    <n v="3363"/>
    <d v="2009-06-03T00:00:00"/>
    <x v="0"/>
    <x v="0"/>
    <x v="0"/>
  </r>
  <r>
    <n v="3366"/>
    <d v="2019-12-31T00:00:00"/>
    <x v="0"/>
    <x v="0"/>
    <x v="0"/>
  </r>
  <r>
    <n v="3370"/>
    <d v="2020-06-24T00:00:00"/>
    <x v="0"/>
    <x v="0"/>
    <x v="0"/>
  </r>
  <r>
    <n v="3381"/>
    <d v="2013-08-28T00:00:00"/>
    <x v="74"/>
    <x v="4"/>
    <x v="0"/>
  </r>
  <r>
    <n v="3412"/>
    <d v="2020-04-26T00:00:00"/>
    <x v="75"/>
    <x v="1"/>
    <x v="0"/>
  </r>
  <r>
    <n v="3413"/>
    <d v="2011-04-12T00:00:00"/>
    <x v="0"/>
    <x v="0"/>
    <x v="0"/>
  </r>
  <r>
    <n v="3414"/>
    <d v="2011-01-30T00:00:00"/>
    <x v="0"/>
    <x v="0"/>
    <x v="0"/>
  </r>
  <r>
    <n v="3427"/>
    <d v="2017-03-14T00:00:00"/>
    <x v="0"/>
    <x v="0"/>
    <x v="0"/>
  </r>
  <r>
    <n v="3429"/>
    <d v="2019-07-31T00:00:00"/>
    <x v="0"/>
    <x v="0"/>
    <x v="0"/>
  </r>
  <r>
    <n v="3433"/>
    <d v="2016-02-07T00:00:00"/>
    <x v="0"/>
    <x v="0"/>
    <x v="0"/>
  </r>
  <r>
    <n v="3439"/>
    <d v="2014-09-02T00:00:00"/>
    <x v="0"/>
    <x v="0"/>
    <x v="0"/>
  </r>
  <r>
    <n v="3444"/>
    <d v="2013-11-19T00:00:00"/>
    <x v="0"/>
    <x v="0"/>
    <x v="0"/>
  </r>
  <r>
    <n v="3445"/>
    <d v="2004-04-25T00:00:00"/>
    <x v="76"/>
    <x v="6"/>
    <x v="0"/>
  </r>
  <r>
    <n v="3449"/>
    <d v="2019-04-14T00:00:00"/>
    <x v="0"/>
    <x v="0"/>
    <x v="0"/>
  </r>
  <r>
    <n v="3456"/>
    <d v="2002-12-02T00:00:00"/>
    <x v="0"/>
    <x v="0"/>
    <x v="0"/>
  </r>
  <r>
    <n v="3457"/>
    <d v="2003-05-11T00:00:00"/>
    <x v="0"/>
    <x v="0"/>
    <x v="0"/>
  </r>
  <r>
    <n v="3458"/>
    <d v="2012-03-10T00:00:00"/>
    <x v="0"/>
    <x v="0"/>
    <x v="0"/>
  </r>
  <r>
    <n v="3472"/>
    <d v="2013-02-16T00:00:00"/>
    <x v="0"/>
    <x v="0"/>
    <x v="0"/>
  </r>
  <r>
    <n v="3473"/>
    <d v="2004-11-11T00:00:00"/>
    <x v="0"/>
    <x v="0"/>
    <x v="0"/>
  </r>
  <r>
    <n v="3474"/>
    <d v="2009-05-21T00:00:00"/>
    <x v="0"/>
    <x v="0"/>
    <x v="0"/>
  </r>
  <r>
    <n v="3476"/>
    <d v="2020-05-09T00:00:00"/>
    <x v="0"/>
    <x v="0"/>
    <x v="0"/>
  </r>
  <r>
    <n v="3477"/>
    <d v="2012-12-01T00:00:00"/>
    <x v="0"/>
    <x v="0"/>
    <x v="0"/>
  </r>
  <r>
    <n v="3480"/>
    <d v="2005-05-12T00:00:00"/>
    <x v="0"/>
    <x v="0"/>
    <x v="0"/>
  </r>
  <r>
    <n v="3485"/>
    <d v="2014-06-21T00:00:00"/>
    <x v="77"/>
    <x v="7"/>
    <x v="0"/>
  </r>
  <r>
    <n v="3486"/>
    <d v="2005-11-26T00:00:00"/>
    <x v="78"/>
    <x v="2"/>
    <x v="0"/>
  </r>
  <r>
    <n v="3493"/>
    <d v="2013-04-06T00:00:00"/>
    <x v="0"/>
    <x v="0"/>
    <x v="0"/>
  </r>
  <r>
    <n v="3494"/>
    <d v="2008-02-04T00:00:00"/>
    <x v="0"/>
    <x v="0"/>
    <x v="0"/>
  </r>
  <r>
    <n v="3502"/>
    <d v="2012-04-05T00:00:00"/>
    <x v="0"/>
    <x v="0"/>
    <x v="0"/>
  </r>
  <r>
    <n v="3505"/>
    <d v="2011-07-15T00:00:00"/>
    <x v="0"/>
    <x v="0"/>
    <x v="0"/>
  </r>
  <r>
    <n v="3506"/>
    <d v="2009-01-20T00:00:00"/>
    <x v="79"/>
    <x v="5"/>
    <x v="0"/>
  </r>
  <r>
    <n v="3507"/>
    <d v="2020-02-15T00:00:00"/>
    <x v="0"/>
    <x v="0"/>
    <x v="0"/>
  </r>
  <r>
    <n v="3522"/>
    <d v="2015-05-13T00:00:00"/>
    <x v="0"/>
    <x v="0"/>
    <x v="0"/>
  </r>
  <r>
    <n v="3530"/>
    <d v="2011-06-23T00:00:00"/>
    <x v="0"/>
    <x v="0"/>
    <x v="0"/>
  </r>
  <r>
    <n v="3532"/>
    <d v="2021-01-25T00:00:00"/>
    <x v="80"/>
    <x v="5"/>
    <x v="0"/>
  </r>
  <r>
    <n v="3533"/>
    <d v="2007-12-30T00:00:00"/>
    <x v="0"/>
    <x v="0"/>
    <x v="0"/>
  </r>
  <r>
    <n v="3534"/>
    <d v="2003-03-03T00:00:00"/>
    <x v="0"/>
    <x v="0"/>
    <x v="0"/>
  </r>
  <r>
    <n v="3547"/>
    <d v="2017-10-26T00:00:00"/>
    <x v="0"/>
    <x v="0"/>
    <x v="0"/>
  </r>
  <r>
    <n v="3552"/>
    <d v="2019-09-03T00:00:00"/>
    <x v="81"/>
    <x v="1"/>
    <x v="0"/>
  </r>
  <r>
    <n v="3554"/>
    <d v="2005-11-10T00:00:00"/>
    <x v="82"/>
    <x v="5"/>
    <x v="0"/>
  </r>
  <r>
    <n v="3571"/>
    <d v="2009-08-01T00:00:00"/>
    <x v="0"/>
    <x v="0"/>
    <x v="0"/>
  </r>
  <r>
    <n v="3572"/>
    <d v="2006-03-06T00:00:00"/>
    <x v="83"/>
    <x v="3"/>
    <x v="0"/>
  </r>
  <r>
    <n v="3579"/>
    <d v="2003-03-10T00:00:00"/>
    <x v="0"/>
    <x v="0"/>
    <x v="0"/>
  </r>
  <r>
    <n v="3580"/>
    <d v="2021-05-21T00:00:00"/>
    <x v="84"/>
    <x v="4"/>
    <x v="1"/>
  </r>
  <r>
    <n v="3588"/>
    <d v="2010-01-14T00:00:00"/>
    <x v="0"/>
    <x v="0"/>
    <x v="0"/>
  </r>
  <r>
    <n v="3589"/>
    <d v="2018-12-30T00:00:00"/>
    <x v="0"/>
    <x v="0"/>
    <x v="0"/>
  </r>
  <r>
    <n v="3598"/>
    <d v="2020-09-05T00:00:00"/>
    <x v="0"/>
    <x v="0"/>
    <x v="0"/>
  </r>
  <r>
    <n v="3606"/>
    <d v="2010-03-08T00:00:00"/>
    <x v="0"/>
    <x v="0"/>
    <x v="0"/>
  </r>
  <r>
    <n v="3615"/>
    <d v="2010-09-16T00:00:00"/>
    <x v="0"/>
    <x v="0"/>
    <x v="0"/>
  </r>
  <r>
    <n v="3619"/>
    <d v="2013-10-06T00:00:00"/>
    <x v="0"/>
    <x v="0"/>
    <x v="0"/>
  </r>
  <r>
    <n v="3635"/>
    <d v="2012-02-12T00:00:00"/>
    <x v="0"/>
    <x v="0"/>
    <x v="0"/>
  </r>
  <r>
    <n v="3639"/>
    <d v="2005-05-02T00:00:00"/>
    <x v="0"/>
    <x v="0"/>
    <x v="0"/>
  </r>
  <r>
    <n v="3645"/>
    <d v="2005-08-13T00:00:00"/>
    <x v="0"/>
    <x v="0"/>
    <x v="0"/>
  </r>
  <r>
    <n v="3651"/>
    <d v="2011-08-05T00:00:00"/>
    <x v="0"/>
    <x v="0"/>
    <x v="0"/>
  </r>
  <r>
    <n v="3660"/>
    <d v="2004-11-05T00:00:00"/>
    <x v="0"/>
    <x v="0"/>
    <x v="0"/>
  </r>
  <r>
    <n v="3675"/>
    <d v="2006-01-19T00:00:00"/>
    <x v="0"/>
    <x v="0"/>
    <x v="0"/>
  </r>
  <r>
    <n v="3678"/>
    <d v="2019-11-14T00:00:00"/>
    <x v="85"/>
    <x v="3"/>
    <x v="0"/>
  </r>
  <r>
    <n v="3679"/>
    <d v="2004-05-18T00:00:00"/>
    <x v="0"/>
    <x v="0"/>
    <x v="0"/>
  </r>
  <r>
    <n v="3681"/>
    <d v="2015-03-02T00:00:00"/>
    <x v="86"/>
    <x v="2"/>
    <x v="0"/>
  </r>
  <r>
    <n v="3690"/>
    <d v="2006-08-24T00:00:00"/>
    <x v="0"/>
    <x v="0"/>
    <x v="0"/>
  </r>
  <r>
    <n v="3694"/>
    <d v="2007-02-28T00:00:00"/>
    <x v="0"/>
    <x v="0"/>
    <x v="0"/>
  </r>
  <r>
    <n v="3695"/>
    <d v="2011-07-31T00:00:00"/>
    <x v="0"/>
    <x v="0"/>
    <x v="0"/>
  </r>
  <r>
    <n v="3700"/>
    <d v="2014-05-08T00:00:00"/>
    <x v="0"/>
    <x v="0"/>
    <x v="0"/>
  </r>
  <r>
    <n v="3708"/>
    <d v="2011-01-03T00:00:00"/>
    <x v="87"/>
    <x v="2"/>
    <x v="0"/>
  </r>
  <r>
    <n v="3722"/>
    <d v="2006-02-19T00:00:00"/>
    <x v="0"/>
    <x v="0"/>
    <x v="0"/>
  </r>
  <r>
    <n v="3732"/>
    <d v="2015-05-29T00:00:00"/>
    <x v="0"/>
    <x v="0"/>
    <x v="0"/>
  </r>
  <r>
    <n v="3740"/>
    <d v="2010-11-07T00:00:00"/>
    <x v="0"/>
    <x v="0"/>
    <x v="0"/>
  </r>
  <r>
    <n v="3748"/>
    <d v="2007-05-15T00:00:00"/>
    <x v="88"/>
    <x v="1"/>
    <x v="0"/>
  </r>
  <r>
    <n v="3759"/>
    <d v="2005-05-16T00:00:00"/>
    <x v="0"/>
    <x v="0"/>
    <x v="0"/>
  </r>
  <r>
    <n v="3762"/>
    <d v="2007-08-23T00:00:00"/>
    <x v="0"/>
    <x v="0"/>
    <x v="0"/>
  </r>
  <r>
    <n v="3773"/>
    <d v="2004-07-05T00:00:00"/>
    <x v="0"/>
    <x v="0"/>
    <x v="0"/>
  </r>
  <r>
    <n v="3776"/>
    <d v="2012-05-02T00:00:00"/>
    <x v="0"/>
    <x v="0"/>
    <x v="0"/>
  </r>
  <r>
    <n v="3777"/>
    <d v="2011-07-04T00:00:00"/>
    <x v="0"/>
    <x v="0"/>
    <x v="0"/>
  </r>
  <r>
    <n v="3786"/>
    <d v="2009-08-02T00:00:00"/>
    <x v="0"/>
    <x v="0"/>
    <x v="0"/>
  </r>
  <r>
    <n v="3798"/>
    <d v="2005-11-17T00:00:00"/>
    <x v="0"/>
    <x v="0"/>
    <x v="0"/>
  </r>
  <r>
    <n v="3803"/>
    <d v="2007-03-19T00:00:00"/>
    <x v="89"/>
    <x v="5"/>
    <x v="0"/>
  </r>
  <r>
    <n v="3806"/>
    <d v="2015-10-31T00:00:00"/>
    <x v="90"/>
    <x v="1"/>
    <x v="0"/>
  </r>
  <r>
    <n v="3807"/>
    <d v="2020-01-16T00:00:00"/>
    <x v="0"/>
    <x v="0"/>
    <x v="0"/>
  </r>
  <r>
    <n v="3810"/>
    <d v="2019-08-23T00:00:00"/>
    <x v="0"/>
    <x v="0"/>
    <x v="0"/>
  </r>
  <r>
    <n v="3816"/>
    <d v="2016-05-29T00:00:00"/>
    <x v="0"/>
    <x v="0"/>
    <x v="0"/>
  </r>
  <r>
    <n v="3826"/>
    <d v="2012-11-27T00:00:00"/>
    <x v="0"/>
    <x v="0"/>
    <x v="0"/>
  </r>
  <r>
    <n v="3831"/>
    <d v="2017-11-26T00:00:00"/>
    <x v="0"/>
    <x v="0"/>
    <x v="0"/>
  </r>
  <r>
    <n v="3833"/>
    <d v="2002-06-23T00:00:00"/>
    <x v="0"/>
    <x v="0"/>
    <x v="0"/>
  </r>
  <r>
    <n v="3834"/>
    <d v="2004-06-24T00:00:00"/>
    <x v="0"/>
    <x v="0"/>
    <x v="0"/>
  </r>
  <r>
    <n v="3842"/>
    <d v="2016-05-24T00:00:00"/>
    <x v="0"/>
    <x v="0"/>
    <x v="0"/>
  </r>
  <r>
    <n v="3847"/>
    <d v="2005-07-26T00:00:00"/>
    <x v="0"/>
    <x v="0"/>
    <x v="0"/>
  </r>
  <r>
    <n v="3850"/>
    <d v="2018-11-06T00:00:00"/>
    <x v="0"/>
    <x v="0"/>
    <x v="0"/>
  </r>
  <r>
    <n v="3864"/>
    <d v="2019-09-26T00:00:00"/>
    <x v="0"/>
    <x v="0"/>
    <x v="0"/>
  </r>
  <r>
    <n v="3867"/>
    <d v="2006-01-06T00:00:00"/>
    <x v="0"/>
    <x v="0"/>
    <x v="0"/>
  </r>
  <r>
    <n v="3870"/>
    <d v="2015-03-07T00:00:00"/>
    <x v="0"/>
    <x v="0"/>
    <x v="0"/>
  </r>
  <r>
    <n v="3882"/>
    <d v="2015-05-02T00:00:00"/>
    <x v="91"/>
    <x v="2"/>
    <x v="0"/>
  </r>
  <r>
    <n v="3888"/>
    <d v="2007-10-25T00:00:00"/>
    <x v="0"/>
    <x v="0"/>
    <x v="0"/>
  </r>
  <r>
    <n v="3895"/>
    <d v="2003-05-23T00:00:00"/>
    <x v="0"/>
    <x v="0"/>
    <x v="0"/>
  </r>
  <r>
    <n v="3899"/>
    <d v="2020-12-24T00:00:00"/>
    <x v="92"/>
    <x v="1"/>
    <x v="0"/>
  </r>
  <r>
    <n v="3901"/>
    <d v="2002-04-29T00:00:00"/>
    <x v="0"/>
    <x v="0"/>
    <x v="0"/>
  </r>
  <r>
    <n v="3904"/>
    <d v="2002-05-03T00:00:00"/>
    <x v="0"/>
    <x v="0"/>
    <x v="0"/>
  </r>
  <r>
    <n v="3905"/>
    <d v="2010-02-28T00:00:00"/>
    <x v="0"/>
    <x v="0"/>
    <x v="0"/>
  </r>
  <r>
    <n v="3908"/>
    <d v="2003-03-07T00:00:00"/>
    <x v="93"/>
    <x v="5"/>
    <x v="0"/>
  </r>
  <r>
    <n v="3911"/>
    <d v="2019-03-15T00:00:00"/>
    <x v="0"/>
    <x v="0"/>
    <x v="0"/>
  </r>
  <r>
    <n v="3916"/>
    <d v="2018-03-03T00:00:00"/>
    <x v="0"/>
    <x v="0"/>
    <x v="0"/>
  </r>
  <r>
    <n v="3923"/>
    <d v="2017-11-19T00:00:00"/>
    <x v="0"/>
    <x v="0"/>
    <x v="0"/>
  </r>
  <r>
    <n v="3924"/>
    <d v="2015-01-21T00:00:00"/>
    <x v="94"/>
    <x v="2"/>
    <x v="0"/>
  </r>
  <r>
    <n v="3926"/>
    <d v="2004-07-23T00:00:00"/>
    <x v="0"/>
    <x v="0"/>
    <x v="0"/>
  </r>
  <r>
    <n v="3928"/>
    <d v="2019-08-18T00:00:00"/>
    <x v="95"/>
    <x v="6"/>
    <x v="1"/>
  </r>
  <r>
    <n v="3935"/>
    <d v="2018-04-16T00:00:00"/>
    <x v="0"/>
    <x v="0"/>
    <x v="0"/>
  </r>
  <r>
    <n v="3938"/>
    <d v="2009-09-29T00:00:00"/>
    <x v="0"/>
    <x v="0"/>
    <x v="0"/>
  </r>
  <r>
    <n v="3941"/>
    <d v="2010-01-19T00:00:00"/>
    <x v="0"/>
    <x v="0"/>
    <x v="0"/>
  </r>
  <r>
    <n v="3942"/>
    <d v="2012-05-14T00:00:00"/>
    <x v="0"/>
    <x v="0"/>
    <x v="0"/>
  </r>
  <r>
    <n v="3948"/>
    <d v="2018-06-01T00:00:00"/>
    <x v="0"/>
    <x v="0"/>
    <x v="0"/>
  </r>
  <r>
    <n v="3949"/>
    <d v="2019-07-01T00:00:00"/>
    <x v="0"/>
    <x v="0"/>
    <x v="0"/>
  </r>
  <r>
    <n v="3951"/>
    <d v="2011-08-10T00:00:00"/>
    <x v="0"/>
    <x v="0"/>
    <x v="0"/>
  </r>
  <r>
    <n v="3955"/>
    <d v="2002-07-05T00:00:00"/>
    <x v="0"/>
    <x v="0"/>
    <x v="0"/>
  </r>
  <r>
    <n v="3961"/>
    <d v="2013-06-26T00:00:00"/>
    <x v="0"/>
    <x v="0"/>
    <x v="0"/>
  </r>
  <r>
    <n v="3964"/>
    <d v="2012-01-30T00:00:00"/>
    <x v="0"/>
    <x v="0"/>
    <x v="0"/>
  </r>
  <r>
    <n v="3966"/>
    <d v="2012-09-21T00:00:00"/>
    <x v="0"/>
    <x v="0"/>
    <x v="0"/>
  </r>
  <r>
    <n v="3967"/>
    <d v="2002-10-08T00:00:00"/>
    <x v="0"/>
    <x v="0"/>
    <x v="0"/>
  </r>
  <r>
    <n v="3969"/>
    <d v="2014-07-04T00:00:00"/>
    <x v="0"/>
    <x v="0"/>
    <x v="0"/>
  </r>
  <r>
    <n v="3970"/>
    <d v="2006-06-25T00:00:00"/>
    <x v="0"/>
    <x v="0"/>
    <x v="0"/>
  </r>
  <r>
    <n v="3972"/>
    <d v="2019-03-11T00:00:00"/>
    <x v="96"/>
    <x v="2"/>
    <x v="1"/>
  </r>
  <r>
    <n v="3975"/>
    <d v="2015-11-30T00:00:00"/>
    <x v="0"/>
    <x v="0"/>
    <x v="0"/>
  </r>
  <r>
    <n v="3977"/>
    <d v="2007-11-01T00:00:00"/>
    <x v="97"/>
    <x v="6"/>
    <x v="0"/>
  </r>
  <r>
    <n v="3979"/>
    <d v="2005-11-22T00:00:00"/>
    <x v="0"/>
    <x v="0"/>
    <x v="0"/>
  </r>
  <r>
    <n v="3983"/>
    <d v="2017-08-26T00:00:00"/>
    <x v="0"/>
    <x v="0"/>
    <x v="0"/>
  </r>
  <r>
    <n v="3985"/>
    <d v="2016-06-10T00:00:00"/>
    <x v="98"/>
    <x v="6"/>
    <x v="1"/>
  </r>
  <r>
    <n v="3991"/>
    <d v="2018-09-26T00:00:00"/>
    <x v="0"/>
    <x v="0"/>
    <x v="0"/>
  </r>
  <r>
    <n v="3994"/>
    <d v="2006-11-06T00:00:00"/>
    <x v="99"/>
    <x v="4"/>
    <x v="0"/>
  </r>
  <r>
    <n v="4004"/>
    <d v="2013-12-15T00:00:00"/>
    <x v="100"/>
    <x v="7"/>
    <x v="0"/>
  </r>
  <r>
    <n v="4013"/>
    <d v="2011-10-28T00:00:00"/>
    <x v="101"/>
    <x v="3"/>
    <x v="1"/>
  </r>
  <r>
    <n v="4024"/>
    <d v="2007-10-19T00:00:00"/>
    <x v="0"/>
    <x v="0"/>
    <x v="0"/>
  </r>
  <r>
    <n v="4036"/>
    <d v="2019-09-14T00:00:00"/>
    <x v="0"/>
    <x v="0"/>
    <x v="0"/>
  </r>
  <r>
    <n v="4051"/>
    <d v="2014-09-14T00:00:00"/>
    <x v="0"/>
    <x v="0"/>
    <x v="0"/>
  </r>
  <r>
    <n v="4054"/>
    <d v="2015-03-21T00:00:00"/>
    <x v="102"/>
    <x v="2"/>
    <x v="0"/>
  </r>
  <r>
    <n v="4056"/>
    <d v="2007-01-25T00:00:00"/>
    <x v="0"/>
    <x v="0"/>
    <x v="0"/>
  </r>
  <r>
    <n v="4058"/>
    <d v="2014-06-15T00:00:00"/>
    <x v="0"/>
    <x v="0"/>
    <x v="0"/>
  </r>
  <r>
    <n v="4059"/>
    <d v="2018-05-01T00:00:00"/>
    <x v="0"/>
    <x v="0"/>
    <x v="0"/>
  </r>
  <r>
    <n v="4063"/>
    <d v="2014-09-21T00:00:00"/>
    <x v="0"/>
    <x v="0"/>
    <x v="0"/>
  </r>
  <r>
    <n v="4065"/>
    <d v="2016-10-17T00:00:00"/>
    <x v="103"/>
    <x v="7"/>
    <x v="0"/>
  </r>
  <r>
    <n v="4069"/>
    <d v="2011-06-13T00:00:00"/>
    <x v="0"/>
    <x v="0"/>
    <x v="0"/>
  </r>
  <r>
    <n v="4087"/>
    <d v="2009-10-11T00:00:00"/>
    <x v="0"/>
    <x v="0"/>
    <x v="0"/>
  </r>
  <r>
    <n v="4093"/>
    <d v="2011-09-19T00:00:00"/>
    <x v="0"/>
    <x v="0"/>
    <x v="0"/>
  </r>
  <r>
    <n v="4097"/>
    <d v="2013-06-14T00:00:00"/>
    <x v="0"/>
    <x v="0"/>
    <x v="0"/>
  </r>
  <r>
    <n v="4108"/>
    <d v="2021-09-26T00:00:00"/>
    <x v="104"/>
    <x v="1"/>
    <x v="1"/>
  </r>
  <r>
    <n v="4109"/>
    <d v="2005-05-05T00:00:00"/>
    <x v="0"/>
    <x v="0"/>
    <x v="0"/>
  </r>
  <r>
    <n v="4119"/>
    <d v="2017-03-10T00:00:00"/>
    <x v="0"/>
    <x v="0"/>
    <x v="0"/>
  </r>
  <r>
    <n v="4121"/>
    <d v="2015-08-02T00:00:00"/>
    <x v="0"/>
    <x v="0"/>
    <x v="0"/>
  </r>
  <r>
    <n v="4122"/>
    <d v="2007-11-29T00:00:00"/>
    <x v="0"/>
    <x v="0"/>
    <x v="0"/>
  </r>
  <r>
    <n v="4123"/>
    <d v="2011-07-07T00:00:00"/>
    <x v="0"/>
    <x v="0"/>
    <x v="0"/>
  </r>
  <r>
    <n v="4125"/>
    <d v="2005-12-17T00:00:00"/>
    <x v="105"/>
    <x v="2"/>
    <x v="0"/>
  </r>
  <r>
    <n v="4126"/>
    <d v="2005-11-30T00:00:00"/>
    <x v="0"/>
    <x v="0"/>
    <x v="0"/>
  </r>
  <r>
    <n v="4129"/>
    <d v="2005-02-03T00:00:00"/>
    <x v="106"/>
    <x v="1"/>
    <x v="0"/>
  </r>
  <r>
    <n v="4130"/>
    <d v="2004-02-27T00:00:00"/>
    <x v="0"/>
    <x v="0"/>
    <x v="0"/>
  </r>
  <r>
    <n v="4131"/>
    <d v="2006-06-04T00:00:00"/>
    <x v="0"/>
    <x v="0"/>
    <x v="0"/>
  </r>
  <r>
    <n v="4139"/>
    <d v="2013-08-25T00:00:00"/>
    <x v="0"/>
    <x v="0"/>
    <x v="0"/>
  </r>
  <r>
    <n v="4154"/>
    <d v="2004-10-08T00:00:00"/>
    <x v="0"/>
    <x v="0"/>
    <x v="0"/>
  </r>
  <r>
    <n v="4171"/>
    <d v="2007-12-24T00:00:00"/>
    <x v="0"/>
    <x v="0"/>
    <x v="0"/>
  </r>
  <r>
    <n v="4181"/>
    <d v="2017-01-13T00:00:00"/>
    <x v="107"/>
    <x v="2"/>
    <x v="0"/>
  </r>
  <r>
    <n v="4185"/>
    <d v="2007-12-13T00:00:00"/>
    <x v="108"/>
    <x v="2"/>
    <x v="0"/>
  </r>
  <r>
    <n v="4200"/>
    <d v="2005-04-04T00:00:00"/>
    <x v="109"/>
    <x v="1"/>
    <x v="0"/>
  </r>
  <r>
    <n v="4204"/>
    <d v="2004-09-10T00:00:00"/>
    <x v="110"/>
    <x v="2"/>
    <x v="0"/>
  </r>
  <r>
    <n v="4206"/>
    <d v="2020-07-14T00:00:00"/>
    <x v="0"/>
    <x v="0"/>
    <x v="0"/>
  </r>
  <r>
    <n v="4209"/>
    <d v="2017-03-25T00:00:00"/>
    <x v="0"/>
    <x v="0"/>
    <x v="0"/>
  </r>
  <r>
    <n v="4213"/>
    <d v="2015-04-19T00:00:00"/>
    <x v="0"/>
    <x v="0"/>
    <x v="0"/>
  </r>
  <r>
    <n v="4216"/>
    <d v="2012-09-07T00:00:00"/>
    <x v="0"/>
    <x v="0"/>
    <x v="0"/>
  </r>
  <r>
    <n v="4222"/>
    <d v="2016-09-27T00:00:00"/>
    <x v="0"/>
    <x v="0"/>
    <x v="0"/>
  </r>
  <r>
    <n v="4240"/>
    <d v="2016-09-29T00:00:00"/>
    <x v="0"/>
    <x v="0"/>
    <x v="0"/>
  </r>
  <r>
    <n v="4264"/>
    <d v="2017-07-28T00:00:00"/>
    <x v="111"/>
    <x v="5"/>
    <x v="0"/>
  </r>
  <r>
    <n v="4268"/>
    <d v="2002-11-29T00:00:00"/>
    <x v="0"/>
    <x v="0"/>
    <x v="0"/>
  </r>
  <r>
    <n v="4271"/>
    <d v="2010-03-12T00:00:00"/>
    <x v="0"/>
    <x v="0"/>
    <x v="0"/>
  </r>
  <r>
    <n v="4280"/>
    <d v="2021-07-07T00:00:00"/>
    <x v="112"/>
    <x v="2"/>
    <x v="1"/>
  </r>
  <r>
    <n v="4282"/>
    <d v="2021-06-09T00:00:00"/>
    <x v="113"/>
    <x v="2"/>
    <x v="1"/>
  </r>
  <r>
    <n v="4283"/>
    <d v="2017-03-10T00:00:00"/>
    <x v="0"/>
    <x v="0"/>
    <x v="0"/>
  </r>
  <r>
    <n v="4284"/>
    <d v="2015-03-19T00:00:00"/>
    <x v="0"/>
    <x v="0"/>
    <x v="0"/>
  </r>
  <r>
    <n v="4286"/>
    <d v="2010-11-18T00:00:00"/>
    <x v="0"/>
    <x v="0"/>
    <x v="0"/>
  </r>
  <r>
    <n v="4287"/>
    <d v="2016-12-11T00:00:00"/>
    <x v="0"/>
    <x v="0"/>
    <x v="0"/>
  </r>
  <r>
    <n v="4288"/>
    <d v="2018-08-17T00:00:00"/>
    <x v="0"/>
    <x v="0"/>
    <x v="0"/>
  </r>
  <r>
    <n v="4293"/>
    <d v="2012-07-01T00:00:00"/>
    <x v="0"/>
    <x v="0"/>
    <x v="0"/>
  </r>
  <r>
    <n v="4305"/>
    <d v="2018-12-04T00:00:00"/>
    <x v="0"/>
    <x v="0"/>
    <x v="0"/>
  </r>
  <r>
    <n v="4312"/>
    <d v="2007-07-31T00:00:00"/>
    <x v="0"/>
    <x v="0"/>
    <x v="0"/>
  </r>
  <r>
    <n v="4323"/>
    <d v="2015-05-19T00:00:00"/>
    <x v="0"/>
    <x v="0"/>
    <x v="0"/>
  </r>
  <r>
    <n v="4326"/>
    <d v="2010-08-22T00:00:00"/>
    <x v="0"/>
    <x v="0"/>
    <x v="0"/>
  </r>
  <r>
    <n v="4329"/>
    <d v="2003-10-28T00:00:00"/>
    <x v="0"/>
    <x v="0"/>
    <x v="0"/>
  </r>
  <r>
    <n v="4334"/>
    <d v="2011-01-14T00:00:00"/>
    <x v="0"/>
    <x v="0"/>
    <x v="0"/>
  </r>
  <r>
    <n v="4337"/>
    <d v="2010-04-04T00:00:00"/>
    <x v="0"/>
    <x v="0"/>
    <x v="0"/>
  </r>
  <r>
    <n v="4340"/>
    <d v="2009-06-10T00:00:00"/>
    <x v="0"/>
    <x v="0"/>
    <x v="0"/>
  </r>
  <r>
    <n v="4346"/>
    <d v="2015-12-07T00:00:00"/>
    <x v="0"/>
    <x v="0"/>
    <x v="0"/>
  </r>
  <r>
    <n v="4355"/>
    <d v="2020-09-18T00:00:00"/>
    <x v="114"/>
    <x v="6"/>
    <x v="0"/>
  </r>
  <r>
    <n v="4363"/>
    <d v="2017-01-31T00:00:00"/>
    <x v="0"/>
    <x v="0"/>
    <x v="0"/>
  </r>
  <r>
    <n v="4369"/>
    <d v="2010-06-28T00:00:00"/>
    <x v="0"/>
    <x v="0"/>
    <x v="0"/>
  </r>
  <r>
    <n v="4374"/>
    <d v="2010-01-27T00:00:00"/>
    <x v="115"/>
    <x v="3"/>
    <x v="0"/>
  </r>
  <r>
    <n v="4378"/>
    <d v="2013-08-08T00:00:00"/>
    <x v="0"/>
    <x v="0"/>
    <x v="0"/>
  </r>
  <r>
    <n v="4381"/>
    <d v="2018-10-05T00:00:00"/>
    <x v="0"/>
    <x v="0"/>
    <x v="0"/>
  </r>
  <r>
    <n v="4382"/>
    <d v="2020-04-09T00:00:00"/>
    <x v="0"/>
    <x v="0"/>
    <x v="0"/>
  </r>
  <r>
    <n v="4385"/>
    <d v="2017-11-14T00:00:00"/>
    <x v="0"/>
    <x v="0"/>
    <x v="0"/>
  </r>
  <r>
    <n v="4389"/>
    <d v="2020-11-07T00:00:00"/>
    <x v="0"/>
    <x v="0"/>
    <x v="0"/>
  </r>
  <r>
    <n v="4396"/>
    <d v="2016-01-13T00:00:00"/>
    <x v="0"/>
    <x v="0"/>
    <x v="0"/>
  </r>
  <r>
    <n v="4399"/>
    <d v="2004-06-06T00:00:00"/>
    <x v="116"/>
    <x v="1"/>
    <x v="0"/>
  </r>
  <r>
    <n v="4407"/>
    <d v="2014-03-17T00:00:00"/>
    <x v="0"/>
    <x v="0"/>
    <x v="0"/>
  </r>
  <r>
    <n v="4410"/>
    <d v="2007-12-13T00:00:00"/>
    <x v="0"/>
    <x v="0"/>
    <x v="0"/>
  </r>
  <r>
    <n v="4416"/>
    <d v="2017-06-27T00:00:00"/>
    <x v="0"/>
    <x v="0"/>
    <x v="0"/>
  </r>
  <r>
    <n v="4417"/>
    <d v="2014-01-16T00:00:00"/>
    <x v="0"/>
    <x v="0"/>
    <x v="0"/>
  </r>
  <r>
    <n v="4425"/>
    <d v="2018-05-19T00:00:00"/>
    <x v="0"/>
    <x v="0"/>
    <x v="0"/>
  </r>
  <r>
    <n v="4427"/>
    <d v="2009-03-15T00:00:00"/>
    <x v="0"/>
    <x v="0"/>
    <x v="0"/>
  </r>
  <r>
    <n v="4432"/>
    <d v="2014-09-14T00:00:00"/>
    <x v="0"/>
    <x v="0"/>
    <x v="0"/>
  </r>
  <r>
    <n v="4437"/>
    <d v="2011-01-27T00:00:00"/>
    <x v="117"/>
    <x v="1"/>
    <x v="0"/>
  </r>
  <r>
    <n v="4441"/>
    <d v="2008-09-01T00:00:00"/>
    <x v="0"/>
    <x v="0"/>
    <x v="0"/>
  </r>
  <r>
    <n v="4443"/>
    <d v="2015-04-18T00:00:00"/>
    <x v="0"/>
    <x v="0"/>
    <x v="0"/>
  </r>
  <r>
    <n v="4449"/>
    <d v="2013-05-21T00:00:00"/>
    <x v="118"/>
    <x v="2"/>
    <x v="0"/>
  </r>
  <r>
    <n v="4452"/>
    <d v="2020-05-02T00:00:00"/>
    <x v="0"/>
    <x v="0"/>
    <x v="0"/>
  </r>
  <r>
    <n v="4453"/>
    <d v="2003-07-28T00:00:00"/>
    <x v="0"/>
    <x v="0"/>
    <x v="0"/>
  </r>
  <r>
    <n v="4458"/>
    <d v="2017-03-24T00:00:00"/>
    <x v="0"/>
    <x v="0"/>
    <x v="0"/>
  </r>
  <r>
    <n v="4459"/>
    <d v="2011-03-13T00:00:00"/>
    <x v="0"/>
    <x v="0"/>
    <x v="0"/>
  </r>
  <r>
    <n v="4460"/>
    <d v="2008-06-07T00:00:00"/>
    <x v="119"/>
    <x v="4"/>
    <x v="0"/>
  </r>
  <r>
    <n v="4480"/>
    <d v="2020-09-04T00:00:00"/>
    <x v="120"/>
    <x v="7"/>
    <x v="0"/>
  </r>
  <r>
    <n v="4487"/>
    <d v="2003-06-28T00:00:00"/>
    <x v="0"/>
    <x v="0"/>
    <x v="0"/>
  </r>
  <r>
    <n v="4499"/>
    <d v="2019-03-02T00:00:00"/>
    <x v="0"/>
    <x v="0"/>
    <x v="0"/>
  </r>
  <r>
    <n v="4502"/>
    <d v="2003-11-23T00:00:00"/>
    <x v="0"/>
    <x v="0"/>
    <x v="0"/>
  </r>
  <r>
    <n v="4505"/>
    <d v="2011-09-06T00:00:00"/>
    <x v="0"/>
    <x v="0"/>
    <x v="0"/>
  </r>
  <r>
    <n v="4508"/>
    <d v="2009-02-13T00:00:00"/>
    <x v="0"/>
    <x v="0"/>
    <x v="0"/>
  </r>
  <r>
    <n v="4512"/>
    <d v="2020-03-27T00:00:00"/>
    <x v="0"/>
    <x v="0"/>
    <x v="0"/>
  </r>
  <r>
    <n v="4514"/>
    <d v="2010-12-11T00:00:00"/>
    <x v="0"/>
    <x v="0"/>
    <x v="0"/>
  </r>
  <r>
    <n v="4547"/>
    <d v="2004-06-24T00:00:00"/>
    <x v="0"/>
    <x v="0"/>
    <x v="0"/>
  </r>
  <r>
    <n v="4550"/>
    <d v="2006-11-01T00:00:00"/>
    <x v="0"/>
    <x v="0"/>
    <x v="0"/>
  </r>
  <r>
    <n v="4552"/>
    <d v="2011-06-27T00:00:00"/>
    <x v="0"/>
    <x v="0"/>
    <x v="0"/>
  </r>
  <r>
    <n v="4562"/>
    <d v="2006-09-22T00:00:00"/>
    <x v="0"/>
    <x v="0"/>
    <x v="0"/>
  </r>
  <r>
    <n v="4565"/>
    <d v="2005-03-05T00:00:00"/>
    <x v="121"/>
    <x v="4"/>
    <x v="0"/>
  </r>
  <r>
    <n v="4568"/>
    <d v="2008-10-22T00:00:00"/>
    <x v="0"/>
    <x v="0"/>
    <x v="0"/>
  </r>
  <r>
    <n v="4572"/>
    <d v="2011-03-06T00:00:00"/>
    <x v="0"/>
    <x v="0"/>
    <x v="0"/>
  </r>
  <r>
    <n v="4574"/>
    <d v="2003-05-23T00:00:00"/>
    <x v="0"/>
    <x v="0"/>
    <x v="0"/>
  </r>
  <r>
    <n v="4575"/>
    <d v="2011-11-01T00:00:00"/>
    <x v="0"/>
    <x v="0"/>
    <x v="0"/>
  </r>
  <r>
    <n v="4588"/>
    <d v="2006-10-12T00:00:00"/>
    <x v="0"/>
    <x v="0"/>
    <x v="0"/>
  </r>
  <r>
    <n v="4589"/>
    <d v="2013-06-18T00:00:00"/>
    <x v="0"/>
    <x v="0"/>
    <x v="0"/>
  </r>
  <r>
    <n v="4590"/>
    <d v="2018-07-20T00:00:00"/>
    <x v="0"/>
    <x v="0"/>
    <x v="0"/>
  </r>
  <r>
    <n v="4592"/>
    <d v="2014-11-28T00:00:00"/>
    <x v="0"/>
    <x v="0"/>
    <x v="0"/>
  </r>
  <r>
    <n v="4609"/>
    <d v="2006-06-28T00:00:00"/>
    <x v="0"/>
    <x v="0"/>
    <x v="0"/>
  </r>
  <r>
    <n v="4614"/>
    <d v="2017-11-05T00:00:00"/>
    <x v="0"/>
    <x v="0"/>
    <x v="0"/>
  </r>
  <r>
    <n v="4616"/>
    <d v="2011-04-05T00:00:00"/>
    <x v="0"/>
    <x v="0"/>
    <x v="0"/>
  </r>
  <r>
    <n v="4617"/>
    <d v="2008-02-18T00:00:00"/>
    <x v="0"/>
    <x v="0"/>
    <x v="0"/>
  </r>
  <r>
    <n v="4618"/>
    <d v="2003-09-01T00:00:00"/>
    <x v="0"/>
    <x v="0"/>
    <x v="0"/>
  </r>
  <r>
    <n v="4622"/>
    <d v="2020-02-07T00:00:00"/>
    <x v="122"/>
    <x v="4"/>
    <x v="0"/>
  </r>
  <r>
    <n v="4643"/>
    <d v="2020-05-21T00:00:00"/>
    <x v="123"/>
    <x v="4"/>
    <x v="0"/>
  </r>
  <r>
    <n v="4644"/>
    <d v="2019-04-18T00:00:00"/>
    <x v="124"/>
    <x v="1"/>
    <x v="0"/>
  </r>
  <r>
    <n v="4646"/>
    <d v="2012-02-04T00:00:00"/>
    <x v="0"/>
    <x v="0"/>
    <x v="0"/>
  </r>
  <r>
    <n v="4651"/>
    <d v="2005-07-01T00:00:00"/>
    <x v="0"/>
    <x v="0"/>
    <x v="0"/>
  </r>
  <r>
    <n v="4654"/>
    <d v="2018-08-12T00:00:00"/>
    <x v="0"/>
    <x v="0"/>
    <x v="0"/>
  </r>
  <r>
    <n v="4657"/>
    <d v="2003-03-16T00:00:00"/>
    <x v="0"/>
    <x v="0"/>
    <x v="0"/>
  </r>
  <r>
    <n v="4662"/>
    <d v="2011-05-01T00:00:00"/>
    <x v="0"/>
    <x v="0"/>
    <x v="0"/>
  </r>
  <r>
    <n v="4666"/>
    <d v="2004-04-04T00:00:00"/>
    <x v="125"/>
    <x v="4"/>
    <x v="0"/>
  </r>
  <r>
    <n v="4669"/>
    <d v="2018-06-24T00:00:00"/>
    <x v="0"/>
    <x v="0"/>
    <x v="0"/>
  </r>
  <r>
    <n v="4678"/>
    <d v="2003-05-09T00:00:00"/>
    <x v="0"/>
    <x v="0"/>
    <x v="0"/>
  </r>
  <r>
    <n v="4683"/>
    <d v="2017-10-04T00:00:00"/>
    <x v="0"/>
    <x v="0"/>
    <x v="0"/>
  </r>
  <r>
    <n v="4686"/>
    <d v="2020-03-02T00:00:00"/>
    <x v="0"/>
    <x v="0"/>
    <x v="0"/>
  </r>
  <r>
    <n v="4690"/>
    <d v="2004-07-25T00:00:00"/>
    <x v="0"/>
    <x v="0"/>
    <x v="0"/>
  </r>
  <r>
    <n v="4693"/>
    <d v="2011-08-03T00:00:00"/>
    <x v="126"/>
    <x v="1"/>
    <x v="0"/>
  </r>
  <r>
    <n v="4695"/>
    <d v="2007-03-22T00:00:00"/>
    <x v="0"/>
    <x v="0"/>
    <x v="0"/>
  </r>
  <r>
    <n v="4700"/>
    <d v="2017-03-02T00:00:00"/>
    <x v="0"/>
    <x v="0"/>
    <x v="0"/>
  </r>
  <r>
    <n v="4701"/>
    <d v="2017-06-23T00:00:00"/>
    <x v="0"/>
    <x v="0"/>
    <x v="0"/>
  </r>
  <r>
    <n v="4707"/>
    <d v="2003-08-24T00:00:00"/>
    <x v="0"/>
    <x v="0"/>
    <x v="0"/>
  </r>
  <r>
    <n v="4711"/>
    <d v="2018-06-12T00:00:00"/>
    <x v="0"/>
    <x v="0"/>
    <x v="0"/>
  </r>
  <r>
    <n v="4714"/>
    <d v="2009-02-21T00:00:00"/>
    <x v="0"/>
    <x v="0"/>
    <x v="0"/>
  </r>
  <r>
    <n v="4716"/>
    <d v="2009-03-26T00:00:00"/>
    <x v="0"/>
    <x v="0"/>
    <x v="0"/>
  </r>
  <r>
    <n v="4719"/>
    <d v="2003-07-22T00:00:00"/>
    <x v="0"/>
    <x v="0"/>
    <x v="0"/>
  </r>
  <r>
    <n v="4738"/>
    <d v="2008-10-27T00:00:00"/>
    <x v="0"/>
    <x v="0"/>
    <x v="0"/>
  </r>
  <r>
    <n v="4741"/>
    <d v="2002-09-30T00:00:00"/>
    <x v="0"/>
    <x v="0"/>
    <x v="0"/>
  </r>
  <r>
    <n v="4742"/>
    <d v="2011-03-03T00:00:00"/>
    <x v="0"/>
    <x v="0"/>
    <x v="0"/>
  </r>
  <r>
    <n v="4743"/>
    <d v="2013-04-26T00:00:00"/>
    <x v="122"/>
    <x v="2"/>
    <x v="0"/>
  </r>
  <r>
    <n v="4746"/>
    <d v="2019-08-23T00:00:00"/>
    <x v="0"/>
    <x v="0"/>
    <x v="0"/>
  </r>
  <r>
    <n v="4749"/>
    <d v="2013-04-07T00:00:00"/>
    <x v="127"/>
    <x v="1"/>
    <x v="0"/>
  </r>
  <r>
    <n v="4750"/>
    <d v="2020-05-06T00:00:00"/>
    <x v="0"/>
    <x v="0"/>
    <x v="0"/>
  </r>
  <r>
    <n v="4751"/>
    <d v="2009-03-16T00:00:00"/>
    <x v="0"/>
    <x v="0"/>
    <x v="0"/>
  </r>
  <r>
    <n v="4754"/>
    <d v="2005-05-19T00:00:00"/>
    <x v="0"/>
    <x v="0"/>
    <x v="0"/>
  </r>
  <r>
    <n v="4758"/>
    <d v="2011-06-25T00:00:00"/>
    <x v="0"/>
    <x v="0"/>
    <x v="0"/>
  </r>
  <r>
    <n v="4779"/>
    <d v="2018-03-16T00:00:00"/>
    <x v="0"/>
    <x v="0"/>
    <x v="0"/>
  </r>
  <r>
    <n v="4781"/>
    <d v="2004-06-07T00:00:00"/>
    <x v="0"/>
    <x v="0"/>
    <x v="0"/>
  </r>
  <r>
    <n v="4786"/>
    <d v="2011-02-22T00:00:00"/>
    <x v="0"/>
    <x v="0"/>
    <x v="0"/>
  </r>
  <r>
    <n v="4787"/>
    <d v="2010-08-13T00:00:00"/>
    <x v="0"/>
    <x v="0"/>
    <x v="0"/>
  </r>
  <r>
    <n v="4790"/>
    <d v="2007-10-23T00:00:00"/>
    <x v="0"/>
    <x v="0"/>
    <x v="0"/>
  </r>
  <r>
    <n v="4799"/>
    <d v="2007-09-21T00:00:00"/>
    <x v="0"/>
    <x v="0"/>
    <x v="0"/>
  </r>
  <r>
    <n v="4806"/>
    <d v="2008-11-23T00:00:00"/>
    <x v="128"/>
    <x v="5"/>
    <x v="0"/>
  </r>
  <r>
    <n v="4807"/>
    <d v="2015-10-04T00:00:00"/>
    <x v="129"/>
    <x v="4"/>
    <x v="0"/>
  </r>
  <r>
    <n v="4808"/>
    <d v="2003-12-27T00:00:00"/>
    <x v="0"/>
    <x v="0"/>
    <x v="0"/>
  </r>
  <r>
    <n v="4810"/>
    <d v="2011-07-06T00:00:00"/>
    <x v="130"/>
    <x v="2"/>
    <x v="0"/>
  </r>
  <r>
    <n v="4814"/>
    <d v="2005-07-11T00:00:00"/>
    <x v="0"/>
    <x v="0"/>
    <x v="0"/>
  </r>
  <r>
    <n v="4824"/>
    <d v="2017-01-10T00:00:00"/>
    <x v="131"/>
    <x v="2"/>
    <x v="0"/>
  </r>
  <r>
    <n v="4829"/>
    <d v="2014-08-13T00:00:00"/>
    <x v="0"/>
    <x v="0"/>
    <x v="0"/>
  </r>
  <r>
    <n v="4832"/>
    <d v="2003-03-16T00:00:00"/>
    <x v="0"/>
    <x v="0"/>
    <x v="0"/>
  </r>
  <r>
    <n v="4847"/>
    <d v="2016-09-02T00:00:00"/>
    <x v="132"/>
    <x v="3"/>
    <x v="0"/>
  </r>
  <r>
    <n v="4849"/>
    <d v="2012-12-05T00:00:00"/>
    <x v="0"/>
    <x v="0"/>
    <x v="0"/>
  </r>
  <r>
    <n v="4856"/>
    <d v="2014-04-27T00:00:00"/>
    <x v="133"/>
    <x v="1"/>
    <x v="0"/>
  </r>
  <r>
    <n v="4857"/>
    <d v="2010-06-22T00:00:00"/>
    <x v="0"/>
    <x v="0"/>
    <x v="0"/>
  </r>
  <r>
    <n v="4864"/>
    <d v="2019-01-09T00:00:00"/>
    <x v="134"/>
    <x v="3"/>
    <x v="0"/>
  </r>
  <r>
    <n v="4872"/>
    <d v="2010-06-22T00:00:00"/>
    <x v="0"/>
    <x v="0"/>
    <x v="0"/>
  </r>
  <r>
    <n v="4875"/>
    <d v="2012-02-02T00:00:00"/>
    <x v="0"/>
    <x v="0"/>
    <x v="0"/>
  </r>
  <r>
    <n v="4880"/>
    <d v="2018-03-11T00:00:00"/>
    <x v="0"/>
    <x v="0"/>
    <x v="0"/>
  </r>
  <r>
    <n v="4882"/>
    <d v="2007-05-01T00:00:00"/>
    <x v="0"/>
    <x v="0"/>
    <x v="0"/>
  </r>
  <r>
    <n v="4883"/>
    <d v="2008-01-25T00:00:00"/>
    <x v="135"/>
    <x v="1"/>
    <x v="0"/>
  </r>
  <r>
    <n v="4884"/>
    <d v="2015-08-25T00:00:00"/>
    <x v="0"/>
    <x v="0"/>
    <x v="0"/>
  </r>
  <r>
    <n v="4894"/>
    <d v="2016-03-24T00:00:00"/>
    <x v="58"/>
    <x v="5"/>
    <x v="0"/>
  </r>
  <r>
    <n v="4895"/>
    <d v="2015-02-10T00:00:00"/>
    <x v="136"/>
    <x v="5"/>
    <x v="1"/>
  </r>
  <r>
    <n v="4901"/>
    <d v="2008-03-01T00:00:00"/>
    <x v="0"/>
    <x v="0"/>
    <x v="0"/>
  </r>
  <r>
    <n v="4909"/>
    <d v="2020-07-14T00:00:00"/>
    <x v="137"/>
    <x v="4"/>
    <x v="0"/>
  </r>
  <r>
    <n v="4915"/>
    <d v="2002-09-04T00:00:00"/>
    <x v="0"/>
    <x v="0"/>
    <x v="0"/>
  </r>
  <r>
    <n v="4920"/>
    <d v="2011-10-01T00:00:00"/>
    <x v="0"/>
    <x v="0"/>
    <x v="0"/>
  </r>
  <r>
    <n v="4921"/>
    <d v="2007-02-22T00:00:00"/>
    <x v="0"/>
    <x v="0"/>
    <x v="0"/>
  </r>
  <r>
    <n v="4929"/>
    <d v="2018-10-05T00:00:00"/>
    <x v="0"/>
    <x v="0"/>
    <x v="0"/>
  </r>
  <r>
    <n v="4930"/>
    <d v="2015-12-15T00:00:00"/>
    <x v="0"/>
    <x v="0"/>
    <x v="0"/>
  </r>
  <r>
    <n v="4936"/>
    <d v="2008-12-17T00:00:00"/>
    <x v="0"/>
    <x v="0"/>
    <x v="0"/>
  </r>
  <r>
    <n v="4938"/>
    <d v="2009-02-09T00:00:00"/>
    <x v="0"/>
    <x v="0"/>
    <x v="0"/>
  </r>
  <r>
    <n v="4941"/>
    <d v="2008-02-14T00:00:00"/>
    <x v="138"/>
    <x v="7"/>
    <x v="0"/>
  </r>
  <r>
    <n v="4949"/>
    <d v="2013-03-28T00:00:00"/>
    <x v="0"/>
    <x v="0"/>
    <x v="0"/>
  </r>
  <r>
    <n v="4953"/>
    <d v="2011-06-05T00:00:00"/>
    <x v="0"/>
    <x v="0"/>
    <x v="0"/>
  </r>
  <r>
    <n v="4956"/>
    <d v="2017-10-13T00:00:00"/>
    <x v="0"/>
    <x v="0"/>
    <x v="0"/>
  </r>
  <r>
    <n v="4970"/>
    <d v="2006-06-07T00:00:00"/>
    <x v="139"/>
    <x v="1"/>
    <x v="0"/>
  </r>
  <r>
    <n v="4988"/>
    <d v="2009-01-29T00:00:00"/>
    <x v="0"/>
    <x v="0"/>
    <x v="0"/>
  </r>
  <r>
    <n v="4994"/>
    <d v="2006-09-01T00:00:00"/>
    <x v="0"/>
    <x v="0"/>
    <x v="0"/>
  </r>
  <r>
    <n v="5005"/>
    <d v="2005-02-21T00:00:00"/>
    <x v="0"/>
    <x v="0"/>
    <x v="0"/>
  </r>
  <r>
    <n v="5007"/>
    <d v="2017-12-27T00:00:00"/>
    <x v="0"/>
    <x v="0"/>
    <x v="0"/>
  </r>
  <r>
    <n v="5009"/>
    <d v="2016-08-30T00:00:00"/>
    <x v="0"/>
    <x v="0"/>
    <x v="0"/>
  </r>
  <r>
    <n v="5010"/>
    <d v="2018-04-25T00:00:00"/>
    <x v="0"/>
    <x v="0"/>
    <x v="0"/>
  </r>
  <r>
    <n v="5021"/>
    <d v="2007-05-14T00:00:00"/>
    <x v="0"/>
    <x v="0"/>
    <x v="0"/>
  </r>
  <r>
    <n v="5022"/>
    <d v="2010-02-16T00:00:00"/>
    <x v="0"/>
    <x v="0"/>
    <x v="0"/>
  </r>
  <r>
    <n v="5029"/>
    <d v="2008-05-31T00:00:00"/>
    <x v="0"/>
    <x v="0"/>
    <x v="0"/>
  </r>
  <r>
    <n v="5030"/>
    <d v="2009-07-16T00:00:00"/>
    <x v="0"/>
    <x v="0"/>
    <x v="0"/>
  </r>
  <r>
    <n v="5035"/>
    <d v="2015-02-09T00:00:00"/>
    <x v="0"/>
    <x v="0"/>
    <x v="0"/>
  </r>
  <r>
    <n v="5058"/>
    <d v="2010-06-28T00:00:00"/>
    <x v="0"/>
    <x v="0"/>
    <x v="0"/>
  </r>
  <r>
    <n v="5061"/>
    <d v="2002-07-30T00:00:00"/>
    <x v="0"/>
    <x v="0"/>
    <x v="0"/>
  </r>
  <r>
    <n v="5062"/>
    <d v="2004-08-29T00:00:00"/>
    <x v="0"/>
    <x v="0"/>
    <x v="0"/>
  </r>
  <r>
    <n v="5069"/>
    <d v="2007-02-23T00:00:00"/>
    <x v="0"/>
    <x v="0"/>
    <x v="0"/>
  </r>
  <r>
    <n v="5070"/>
    <d v="2019-12-26T00:00:00"/>
    <x v="0"/>
    <x v="0"/>
    <x v="0"/>
  </r>
  <r>
    <n v="5072"/>
    <d v="2004-10-11T00:00:00"/>
    <x v="140"/>
    <x v="5"/>
    <x v="0"/>
  </r>
  <r>
    <n v="5075"/>
    <d v="2010-01-28T00:00:00"/>
    <x v="0"/>
    <x v="0"/>
    <x v="0"/>
  </r>
  <r>
    <n v="5087"/>
    <d v="2005-01-01T00:00:00"/>
    <x v="0"/>
    <x v="0"/>
    <x v="0"/>
  </r>
  <r>
    <n v="5107"/>
    <d v="2007-02-18T00:00:00"/>
    <x v="0"/>
    <x v="0"/>
    <x v="0"/>
  </r>
  <r>
    <n v="5108"/>
    <d v="2016-01-06T00:00:00"/>
    <x v="0"/>
    <x v="0"/>
    <x v="0"/>
  </r>
  <r>
    <n v="5110"/>
    <d v="2011-08-02T00:00:00"/>
    <x v="0"/>
    <x v="0"/>
    <x v="0"/>
  </r>
  <r>
    <n v="5112"/>
    <d v="2009-09-07T00:00:00"/>
    <x v="0"/>
    <x v="0"/>
    <x v="0"/>
  </r>
  <r>
    <n v="5121"/>
    <d v="2015-01-01T00:00:00"/>
    <x v="141"/>
    <x v="5"/>
    <x v="0"/>
  </r>
  <r>
    <n v="5123"/>
    <d v="2010-05-22T00:00:00"/>
    <x v="142"/>
    <x v="4"/>
    <x v="0"/>
  </r>
  <r>
    <n v="5128"/>
    <d v="2007-02-11T00:00:00"/>
    <x v="0"/>
    <x v="0"/>
    <x v="0"/>
  </r>
  <r>
    <n v="5133"/>
    <d v="2008-10-27T00:00:00"/>
    <x v="0"/>
    <x v="0"/>
    <x v="0"/>
  </r>
  <r>
    <n v="5136"/>
    <d v="2005-06-30T00:00:00"/>
    <x v="0"/>
    <x v="0"/>
    <x v="0"/>
  </r>
  <r>
    <n v="5143"/>
    <d v="2004-12-16T00:00:00"/>
    <x v="0"/>
    <x v="0"/>
    <x v="0"/>
  </r>
  <r>
    <n v="5144"/>
    <d v="2020-05-31T00:00:00"/>
    <x v="143"/>
    <x v="2"/>
    <x v="0"/>
  </r>
  <r>
    <n v="5154"/>
    <d v="2017-02-14T00:00:00"/>
    <x v="0"/>
    <x v="0"/>
    <x v="0"/>
  </r>
  <r>
    <n v="5155"/>
    <d v="2014-04-22T00:00:00"/>
    <x v="0"/>
    <x v="0"/>
    <x v="0"/>
  </r>
  <r>
    <n v="5156"/>
    <d v="2010-10-10T00:00:00"/>
    <x v="0"/>
    <x v="0"/>
    <x v="0"/>
  </r>
  <r>
    <n v="5162"/>
    <d v="2011-08-12T00:00:00"/>
    <x v="0"/>
    <x v="0"/>
    <x v="0"/>
  </r>
  <r>
    <n v="5166"/>
    <d v="2012-04-27T00:00:00"/>
    <x v="0"/>
    <x v="0"/>
    <x v="0"/>
  </r>
  <r>
    <n v="5172"/>
    <d v="2007-02-16T00:00:00"/>
    <x v="0"/>
    <x v="0"/>
    <x v="0"/>
  </r>
  <r>
    <n v="5178"/>
    <d v="2005-10-01T00:00:00"/>
    <x v="144"/>
    <x v="4"/>
    <x v="0"/>
  </r>
  <r>
    <n v="5184"/>
    <d v="2008-05-15T00:00:00"/>
    <x v="0"/>
    <x v="0"/>
    <x v="0"/>
  </r>
  <r>
    <n v="5185"/>
    <d v="2012-10-13T00:00:00"/>
    <x v="0"/>
    <x v="0"/>
    <x v="0"/>
  </r>
  <r>
    <n v="5188"/>
    <d v="2012-05-04T00:00:00"/>
    <x v="0"/>
    <x v="0"/>
    <x v="0"/>
  </r>
  <r>
    <n v="5192"/>
    <d v="2003-02-07T00:00:00"/>
    <x v="0"/>
    <x v="0"/>
    <x v="0"/>
  </r>
  <r>
    <n v="5200"/>
    <d v="2017-12-08T00:00:00"/>
    <x v="145"/>
    <x v="4"/>
    <x v="0"/>
  </r>
  <r>
    <n v="5201"/>
    <d v="2011-11-25T00:00:00"/>
    <x v="0"/>
    <x v="0"/>
    <x v="0"/>
  </r>
  <r>
    <n v="5202"/>
    <d v="2013-01-22T00:00:00"/>
    <x v="146"/>
    <x v="5"/>
    <x v="0"/>
  </r>
  <r>
    <n v="5209"/>
    <d v="2013-11-07T00:00:00"/>
    <x v="0"/>
    <x v="0"/>
    <x v="0"/>
  </r>
  <r>
    <n v="5210"/>
    <d v="2017-06-09T00:00:00"/>
    <x v="0"/>
    <x v="0"/>
    <x v="0"/>
  </r>
  <r>
    <n v="5212"/>
    <d v="2011-09-11T00:00:00"/>
    <x v="0"/>
    <x v="0"/>
    <x v="0"/>
  </r>
  <r>
    <n v="5218"/>
    <d v="2012-06-29T00:00:00"/>
    <x v="0"/>
    <x v="0"/>
    <x v="0"/>
  </r>
  <r>
    <n v="5223"/>
    <d v="2005-02-01T00:00:00"/>
    <x v="0"/>
    <x v="0"/>
    <x v="0"/>
  </r>
  <r>
    <n v="5225"/>
    <d v="2013-03-03T00:00:00"/>
    <x v="147"/>
    <x v="3"/>
    <x v="0"/>
  </r>
  <r>
    <n v="5226"/>
    <d v="2015-08-01T00:00:00"/>
    <x v="0"/>
    <x v="0"/>
    <x v="0"/>
  </r>
  <r>
    <n v="5229"/>
    <d v="2015-02-23T00:00:00"/>
    <x v="148"/>
    <x v="1"/>
    <x v="0"/>
  </r>
  <r>
    <n v="5230"/>
    <d v="2008-05-07T00:00:00"/>
    <x v="0"/>
    <x v="0"/>
    <x v="0"/>
  </r>
  <r>
    <n v="5242"/>
    <d v="2010-06-26T00:00:00"/>
    <x v="0"/>
    <x v="0"/>
    <x v="0"/>
  </r>
  <r>
    <n v="5249"/>
    <d v="2014-03-02T00:00:00"/>
    <x v="0"/>
    <x v="0"/>
    <x v="0"/>
  </r>
  <r>
    <n v="5263"/>
    <d v="2005-02-19T00:00:00"/>
    <x v="0"/>
    <x v="0"/>
    <x v="0"/>
  </r>
  <r>
    <n v="5270"/>
    <d v="2019-01-06T00:00:00"/>
    <x v="0"/>
    <x v="0"/>
    <x v="0"/>
  </r>
  <r>
    <n v="5272"/>
    <d v="2016-08-24T00:00:00"/>
    <x v="149"/>
    <x v="2"/>
    <x v="0"/>
  </r>
  <r>
    <n v="5294"/>
    <d v="2018-10-11T00:00:00"/>
    <x v="0"/>
    <x v="0"/>
    <x v="0"/>
  </r>
  <r>
    <n v="5302"/>
    <d v="2015-08-13T00:00:00"/>
    <x v="0"/>
    <x v="0"/>
    <x v="0"/>
  </r>
  <r>
    <n v="5319"/>
    <d v="2020-02-19T00:00:00"/>
    <x v="0"/>
    <x v="0"/>
    <x v="0"/>
  </r>
  <r>
    <n v="5324"/>
    <d v="2011-08-26T00:00:00"/>
    <x v="0"/>
    <x v="0"/>
    <x v="0"/>
  </r>
  <r>
    <n v="5325"/>
    <d v="2009-01-05T00:00:00"/>
    <x v="0"/>
    <x v="0"/>
    <x v="0"/>
  </r>
  <r>
    <n v="5341"/>
    <d v="2013-01-03T00:00:00"/>
    <x v="0"/>
    <x v="0"/>
    <x v="0"/>
  </r>
  <r>
    <n v="5351"/>
    <d v="2019-08-24T00:00:00"/>
    <x v="150"/>
    <x v="2"/>
    <x v="0"/>
  </r>
  <r>
    <n v="5361"/>
    <d v="2012-05-22T00:00:00"/>
    <x v="151"/>
    <x v="1"/>
    <x v="0"/>
  </r>
  <r>
    <n v="5363"/>
    <d v="2013-04-23T00:00:00"/>
    <x v="0"/>
    <x v="0"/>
    <x v="0"/>
  </r>
  <r>
    <n v="5375"/>
    <d v="2006-04-15T00:00:00"/>
    <x v="0"/>
    <x v="0"/>
    <x v="0"/>
  </r>
  <r>
    <n v="5382"/>
    <d v="2002-11-22T00:00:00"/>
    <x v="0"/>
    <x v="0"/>
    <x v="0"/>
  </r>
  <r>
    <n v="5397"/>
    <d v="2019-01-17T00:00:00"/>
    <x v="152"/>
    <x v="7"/>
    <x v="0"/>
  </r>
  <r>
    <n v="5398"/>
    <d v="2006-09-11T00:00:00"/>
    <x v="153"/>
    <x v="2"/>
    <x v="0"/>
  </r>
  <r>
    <n v="5408"/>
    <d v="2015-07-15T00:00:00"/>
    <x v="0"/>
    <x v="0"/>
    <x v="0"/>
  </r>
  <r>
    <n v="5409"/>
    <d v="2018-03-05T00:00:00"/>
    <x v="0"/>
    <x v="0"/>
    <x v="0"/>
  </r>
  <r>
    <n v="5414"/>
    <d v="2008-05-09T00:00:00"/>
    <x v="0"/>
    <x v="0"/>
    <x v="0"/>
  </r>
  <r>
    <n v="5416"/>
    <d v="2017-03-01T00:00:00"/>
    <x v="154"/>
    <x v="8"/>
    <x v="0"/>
  </r>
  <r>
    <n v="5428"/>
    <d v="2011-11-27T00:00:00"/>
    <x v="155"/>
    <x v="4"/>
    <x v="0"/>
  </r>
  <r>
    <n v="5429"/>
    <d v="2004-03-16T00:00:00"/>
    <x v="0"/>
    <x v="0"/>
    <x v="0"/>
  </r>
  <r>
    <n v="5435"/>
    <d v="2005-08-02T00:00:00"/>
    <x v="0"/>
    <x v="0"/>
    <x v="0"/>
  </r>
  <r>
    <n v="5440"/>
    <d v="2003-09-12T00:00:00"/>
    <x v="0"/>
    <x v="0"/>
    <x v="0"/>
  </r>
  <r>
    <n v="5441"/>
    <d v="2002-11-24T00:00:00"/>
    <x v="0"/>
    <x v="0"/>
    <x v="0"/>
  </r>
  <r>
    <n v="5443"/>
    <d v="2003-12-21T00:00:00"/>
    <x v="156"/>
    <x v="4"/>
    <x v="0"/>
  </r>
  <r>
    <n v="5449"/>
    <d v="2014-09-25T00:00:00"/>
    <x v="0"/>
    <x v="0"/>
    <x v="0"/>
  </r>
  <r>
    <n v="5453"/>
    <d v="2009-10-02T00:00:00"/>
    <x v="0"/>
    <x v="0"/>
    <x v="0"/>
  </r>
  <r>
    <n v="5456"/>
    <d v="2015-08-24T00:00:00"/>
    <x v="0"/>
    <x v="0"/>
    <x v="0"/>
  </r>
  <r>
    <n v="5459"/>
    <d v="2019-05-17T00:00:00"/>
    <x v="0"/>
    <x v="0"/>
    <x v="0"/>
  </r>
  <r>
    <n v="5465"/>
    <d v="2020-07-31T00:00:00"/>
    <x v="0"/>
    <x v="0"/>
    <x v="0"/>
  </r>
  <r>
    <n v="5468"/>
    <d v="2004-11-03T00:00:00"/>
    <x v="0"/>
    <x v="0"/>
    <x v="0"/>
  </r>
  <r>
    <n v="5473"/>
    <d v="2011-11-14T00:00:00"/>
    <x v="157"/>
    <x v="4"/>
    <x v="0"/>
  </r>
  <r>
    <n v="5481"/>
    <d v="2007-01-20T00:00:00"/>
    <x v="0"/>
    <x v="0"/>
    <x v="0"/>
  </r>
  <r>
    <n v="5486"/>
    <d v="2019-11-15T00:00:00"/>
    <x v="158"/>
    <x v="1"/>
    <x v="0"/>
  </r>
  <r>
    <n v="5492"/>
    <d v="2019-05-14T00:00:00"/>
    <x v="159"/>
    <x v="2"/>
    <x v="0"/>
  </r>
  <r>
    <n v="5493"/>
    <d v="2002-06-18T00:00:00"/>
    <x v="0"/>
    <x v="0"/>
    <x v="0"/>
  </r>
  <r>
    <n v="5495"/>
    <d v="2020-06-18T00:00:00"/>
    <x v="0"/>
    <x v="0"/>
    <x v="0"/>
  </r>
  <r>
    <n v="5496"/>
    <d v="2005-01-22T00:00:00"/>
    <x v="0"/>
    <x v="0"/>
    <x v="0"/>
  </r>
  <r>
    <n v="5497"/>
    <d v="2018-09-09T00:00:00"/>
    <x v="0"/>
    <x v="0"/>
    <x v="0"/>
  </r>
  <r>
    <n v="5500"/>
    <d v="2004-03-13T00:00:00"/>
    <x v="0"/>
    <x v="0"/>
    <x v="0"/>
  </r>
  <r>
    <n v="5522"/>
    <d v="2017-10-21T00:00:00"/>
    <x v="0"/>
    <x v="0"/>
    <x v="0"/>
  </r>
  <r>
    <n v="5528"/>
    <d v="2011-01-17T00:00:00"/>
    <x v="0"/>
    <x v="0"/>
    <x v="0"/>
  </r>
  <r>
    <n v="5530"/>
    <d v="2014-09-19T00:00:00"/>
    <x v="160"/>
    <x v="2"/>
    <x v="0"/>
  </r>
  <r>
    <n v="5540"/>
    <d v="2007-08-28T00:00:00"/>
    <x v="0"/>
    <x v="0"/>
    <x v="0"/>
  </r>
  <r>
    <n v="5546"/>
    <d v="2016-06-22T00:00:00"/>
    <x v="0"/>
    <x v="0"/>
    <x v="0"/>
  </r>
  <r>
    <n v="5552"/>
    <d v="2009-07-01T00:00:00"/>
    <x v="161"/>
    <x v="4"/>
    <x v="0"/>
  </r>
  <r>
    <n v="5554"/>
    <d v="2004-01-23T00:00:00"/>
    <x v="0"/>
    <x v="0"/>
    <x v="0"/>
  </r>
  <r>
    <n v="5555"/>
    <d v="2005-08-02T00:00:00"/>
    <x v="0"/>
    <x v="0"/>
    <x v="0"/>
  </r>
  <r>
    <n v="5560"/>
    <d v="2019-05-31T00:00:00"/>
    <x v="0"/>
    <x v="0"/>
    <x v="0"/>
  </r>
  <r>
    <n v="5569"/>
    <d v="2019-06-04T00:00:00"/>
    <x v="0"/>
    <x v="0"/>
    <x v="0"/>
  </r>
  <r>
    <n v="5573"/>
    <d v="2015-03-30T00:00:00"/>
    <x v="0"/>
    <x v="0"/>
    <x v="0"/>
  </r>
  <r>
    <n v="5580"/>
    <d v="2016-05-01T00:00:00"/>
    <x v="162"/>
    <x v="2"/>
    <x v="0"/>
  </r>
  <r>
    <n v="5581"/>
    <d v="2004-04-09T00:00:00"/>
    <x v="0"/>
    <x v="0"/>
    <x v="0"/>
  </r>
  <r>
    <n v="5582"/>
    <d v="2008-08-16T00:00:00"/>
    <x v="0"/>
    <x v="0"/>
    <x v="0"/>
  </r>
  <r>
    <n v="5587"/>
    <d v="2012-09-29T00:00:00"/>
    <x v="0"/>
    <x v="0"/>
    <x v="0"/>
  </r>
  <r>
    <n v="5590"/>
    <d v="2017-09-19T00:00:00"/>
    <x v="0"/>
    <x v="0"/>
    <x v="0"/>
  </r>
  <r>
    <n v="5596"/>
    <d v="2018-07-26T00:00:00"/>
    <x v="0"/>
    <x v="0"/>
    <x v="0"/>
  </r>
  <r>
    <n v="5609"/>
    <d v="2014-04-05T00:00:00"/>
    <x v="0"/>
    <x v="0"/>
    <x v="0"/>
  </r>
  <r>
    <n v="5614"/>
    <d v="2018-02-26T00:00:00"/>
    <x v="163"/>
    <x v="3"/>
    <x v="0"/>
  </r>
  <r>
    <n v="5616"/>
    <d v="2007-09-13T00:00:00"/>
    <x v="164"/>
    <x v="8"/>
    <x v="0"/>
  </r>
  <r>
    <n v="5623"/>
    <d v="2016-11-15T00:00:00"/>
    <x v="0"/>
    <x v="0"/>
    <x v="0"/>
  </r>
  <r>
    <n v="5628"/>
    <d v="2013-01-08T00:00:00"/>
    <x v="0"/>
    <x v="0"/>
    <x v="0"/>
  </r>
  <r>
    <n v="5642"/>
    <d v="2011-08-14T00:00:00"/>
    <x v="165"/>
    <x v="5"/>
    <x v="0"/>
  </r>
  <r>
    <n v="5644"/>
    <d v="2007-08-28T00:00:00"/>
    <x v="166"/>
    <x v="3"/>
    <x v="0"/>
  </r>
  <r>
    <n v="5654"/>
    <d v="2004-07-01T00:00:00"/>
    <x v="0"/>
    <x v="0"/>
    <x v="0"/>
  </r>
  <r>
    <n v="5655"/>
    <d v="2020-09-10T00:00:00"/>
    <x v="0"/>
    <x v="0"/>
    <x v="0"/>
  </r>
  <r>
    <n v="5656"/>
    <d v="2005-10-12T00:00:00"/>
    <x v="0"/>
    <x v="0"/>
    <x v="0"/>
  </r>
  <r>
    <n v="5659"/>
    <d v="2018-07-20T00:00:00"/>
    <x v="0"/>
    <x v="0"/>
    <x v="0"/>
  </r>
  <r>
    <n v="5662"/>
    <d v="2011-05-08T00:00:00"/>
    <x v="0"/>
    <x v="0"/>
    <x v="0"/>
  </r>
  <r>
    <n v="5668"/>
    <d v="2017-09-24T00:00:00"/>
    <x v="0"/>
    <x v="0"/>
    <x v="0"/>
  </r>
  <r>
    <n v="5695"/>
    <d v="2018-10-22T00:00:00"/>
    <x v="0"/>
    <x v="0"/>
    <x v="0"/>
  </r>
  <r>
    <n v="5704"/>
    <d v="2006-06-11T00:00:00"/>
    <x v="167"/>
    <x v="3"/>
    <x v="0"/>
  </r>
  <r>
    <n v="5705"/>
    <d v="2002-09-19T00:00:00"/>
    <x v="0"/>
    <x v="0"/>
    <x v="0"/>
  </r>
  <r>
    <n v="5708"/>
    <d v="2008-11-11T00:00:00"/>
    <x v="168"/>
    <x v="1"/>
    <x v="0"/>
  </r>
  <r>
    <n v="5714"/>
    <d v="2002-03-18T00:00:00"/>
    <x v="0"/>
    <x v="0"/>
    <x v="0"/>
  </r>
  <r>
    <n v="5715"/>
    <d v="2010-01-31T00:00:00"/>
    <x v="169"/>
    <x v="5"/>
    <x v="0"/>
  </r>
  <r>
    <n v="5721"/>
    <d v="2018-10-26T00:00:00"/>
    <x v="0"/>
    <x v="0"/>
    <x v="0"/>
  </r>
  <r>
    <n v="5739"/>
    <d v="2007-05-28T00:00:00"/>
    <x v="0"/>
    <x v="0"/>
    <x v="0"/>
  </r>
  <r>
    <n v="5740"/>
    <d v="2006-10-09T00:00:00"/>
    <x v="0"/>
    <x v="0"/>
    <x v="0"/>
  </r>
  <r>
    <n v="5754"/>
    <d v="2008-09-08T00:00:00"/>
    <x v="0"/>
    <x v="0"/>
    <x v="0"/>
  </r>
  <r>
    <n v="5760"/>
    <d v="2007-07-11T00:00:00"/>
    <x v="0"/>
    <x v="0"/>
    <x v="0"/>
  </r>
  <r>
    <n v="5768"/>
    <d v="2006-08-21T00:00:00"/>
    <x v="0"/>
    <x v="0"/>
    <x v="0"/>
  </r>
  <r>
    <n v="5771"/>
    <d v="2013-08-07T00:00:00"/>
    <x v="0"/>
    <x v="0"/>
    <x v="0"/>
  </r>
  <r>
    <n v="5781"/>
    <d v="2009-12-14T00:00:00"/>
    <x v="0"/>
    <x v="0"/>
    <x v="0"/>
  </r>
  <r>
    <n v="5787"/>
    <d v="2013-06-12T00:00:00"/>
    <x v="0"/>
    <x v="0"/>
    <x v="0"/>
  </r>
  <r>
    <n v="5797"/>
    <d v="2007-05-13T00:00:00"/>
    <x v="0"/>
    <x v="0"/>
    <x v="0"/>
  </r>
  <r>
    <n v="5799"/>
    <d v="2017-02-05T00:00:00"/>
    <x v="170"/>
    <x v="2"/>
    <x v="0"/>
  </r>
  <r>
    <n v="5831"/>
    <d v="2009-11-14T00:00:00"/>
    <x v="171"/>
    <x v="7"/>
    <x v="0"/>
  </r>
  <r>
    <n v="5844"/>
    <d v="2002-01-12T00:00:00"/>
    <x v="0"/>
    <x v="0"/>
    <x v="0"/>
  </r>
  <r>
    <n v="5858"/>
    <d v="2005-01-13T00:00:00"/>
    <x v="0"/>
    <x v="0"/>
    <x v="0"/>
  </r>
  <r>
    <n v="5868"/>
    <d v="2009-12-04T00:00:00"/>
    <x v="0"/>
    <x v="0"/>
    <x v="0"/>
  </r>
  <r>
    <n v="5876"/>
    <d v="2005-09-15T00:00:00"/>
    <x v="0"/>
    <x v="0"/>
    <x v="0"/>
  </r>
  <r>
    <n v="5878"/>
    <d v="2003-08-26T00:00:00"/>
    <x v="0"/>
    <x v="0"/>
    <x v="0"/>
  </r>
  <r>
    <n v="5886"/>
    <d v="2007-10-12T00:00:00"/>
    <x v="0"/>
    <x v="0"/>
    <x v="0"/>
  </r>
  <r>
    <n v="5888"/>
    <d v="2013-03-14T00:00:00"/>
    <x v="0"/>
    <x v="0"/>
    <x v="0"/>
  </r>
  <r>
    <n v="5890"/>
    <d v="2014-11-06T00:00:00"/>
    <x v="172"/>
    <x v="1"/>
    <x v="0"/>
  </r>
  <r>
    <n v="5894"/>
    <d v="2006-09-29T00:00:00"/>
    <x v="173"/>
    <x v="4"/>
    <x v="0"/>
  </r>
  <r>
    <n v="5896"/>
    <d v="2012-05-05T00:00:00"/>
    <x v="0"/>
    <x v="0"/>
    <x v="0"/>
  </r>
  <r>
    <n v="5898"/>
    <d v="2015-02-06T00:00:00"/>
    <x v="0"/>
    <x v="0"/>
    <x v="0"/>
  </r>
  <r>
    <n v="5904"/>
    <d v="2011-12-16T00:00:00"/>
    <x v="0"/>
    <x v="0"/>
    <x v="0"/>
  </r>
  <r>
    <n v="5910"/>
    <d v="2015-03-22T00:00:00"/>
    <x v="0"/>
    <x v="0"/>
    <x v="0"/>
  </r>
  <r>
    <n v="5911"/>
    <d v="2014-09-11T00:00:00"/>
    <x v="0"/>
    <x v="0"/>
    <x v="0"/>
  </r>
  <r>
    <n v="5917"/>
    <d v="2014-08-13T00:00:00"/>
    <x v="0"/>
    <x v="0"/>
    <x v="0"/>
  </r>
  <r>
    <n v="5919"/>
    <d v="2011-05-28T00:00:00"/>
    <x v="174"/>
    <x v="2"/>
    <x v="0"/>
  </r>
  <r>
    <n v="5923"/>
    <d v="2008-09-11T00:00:00"/>
    <x v="0"/>
    <x v="0"/>
    <x v="0"/>
  </r>
  <r>
    <n v="5928"/>
    <d v="2019-01-29T00:00:00"/>
    <x v="175"/>
    <x v="5"/>
    <x v="0"/>
  </r>
  <r>
    <n v="5929"/>
    <d v="2018-10-16T00:00:00"/>
    <x v="0"/>
    <x v="0"/>
    <x v="0"/>
  </r>
  <r>
    <n v="5935"/>
    <d v="2017-01-18T00:00:00"/>
    <x v="176"/>
    <x v="1"/>
    <x v="0"/>
  </r>
  <r>
    <n v="5938"/>
    <d v="2004-04-09T00:00:00"/>
    <x v="0"/>
    <x v="0"/>
    <x v="0"/>
  </r>
  <r>
    <n v="5942"/>
    <d v="2007-07-20T00:00:00"/>
    <x v="0"/>
    <x v="0"/>
    <x v="0"/>
  </r>
  <r>
    <n v="5945"/>
    <d v="2014-07-15T00:00:00"/>
    <x v="177"/>
    <x v="4"/>
    <x v="0"/>
  </r>
  <r>
    <n v="5947"/>
    <d v="2003-12-04T00:00:00"/>
    <x v="178"/>
    <x v="5"/>
    <x v="0"/>
  </r>
  <r>
    <n v="5956"/>
    <d v="2002-11-23T00:00:00"/>
    <x v="0"/>
    <x v="0"/>
    <x v="0"/>
  </r>
  <r>
    <n v="5960"/>
    <d v="2002-03-16T00:00:00"/>
    <x v="0"/>
    <x v="0"/>
    <x v="0"/>
  </r>
  <r>
    <n v="5970"/>
    <d v="2008-08-01T00:00:00"/>
    <x v="0"/>
    <x v="0"/>
    <x v="0"/>
  </r>
  <r>
    <n v="5979"/>
    <d v="2013-05-16T00:00:00"/>
    <x v="0"/>
    <x v="0"/>
    <x v="0"/>
  </r>
  <r>
    <n v="5986"/>
    <d v="2007-05-14T00:00:00"/>
    <x v="0"/>
    <x v="0"/>
    <x v="0"/>
  </r>
  <r>
    <n v="5989"/>
    <d v="2003-03-25T00:00:00"/>
    <x v="0"/>
    <x v="0"/>
    <x v="0"/>
  </r>
  <r>
    <n v="5996"/>
    <d v="2021-02-11T00:00:00"/>
    <x v="80"/>
    <x v="4"/>
    <x v="0"/>
  </r>
  <r>
    <n v="6017"/>
    <d v="2003-01-18T00:00:00"/>
    <x v="179"/>
    <x v="6"/>
    <x v="0"/>
  </r>
  <r>
    <n v="6026"/>
    <d v="2012-09-04T00:00:00"/>
    <x v="0"/>
    <x v="0"/>
    <x v="0"/>
  </r>
  <r>
    <n v="6031"/>
    <d v="2015-03-16T00:00:00"/>
    <x v="0"/>
    <x v="0"/>
    <x v="0"/>
  </r>
  <r>
    <n v="6049"/>
    <d v="2020-07-18T00:00:00"/>
    <x v="0"/>
    <x v="0"/>
    <x v="0"/>
  </r>
  <r>
    <n v="6075"/>
    <d v="2019-10-06T00:00:00"/>
    <x v="0"/>
    <x v="0"/>
    <x v="0"/>
  </r>
  <r>
    <n v="6077"/>
    <d v="2015-02-22T00:00:00"/>
    <x v="131"/>
    <x v="1"/>
    <x v="0"/>
  </r>
  <r>
    <n v="6078"/>
    <d v="2017-08-15T00:00:00"/>
    <x v="0"/>
    <x v="0"/>
    <x v="0"/>
  </r>
  <r>
    <n v="6081"/>
    <d v="2014-06-15T00:00:00"/>
    <x v="0"/>
    <x v="0"/>
    <x v="0"/>
  </r>
  <r>
    <n v="6086"/>
    <d v="2008-03-31T00:00:00"/>
    <x v="0"/>
    <x v="0"/>
    <x v="0"/>
  </r>
  <r>
    <n v="6094"/>
    <d v="2009-01-31T00:00:00"/>
    <x v="180"/>
    <x v="2"/>
    <x v="0"/>
  </r>
  <r>
    <n v="6095"/>
    <d v="2016-09-15T00:00:00"/>
    <x v="0"/>
    <x v="0"/>
    <x v="0"/>
  </r>
  <r>
    <n v="6106"/>
    <d v="2017-09-08T00:00:00"/>
    <x v="0"/>
    <x v="0"/>
    <x v="0"/>
  </r>
  <r>
    <n v="6113"/>
    <d v="2014-07-10T00:00:00"/>
    <x v="0"/>
    <x v="0"/>
    <x v="0"/>
  </r>
  <r>
    <n v="6128"/>
    <d v="2011-10-26T00:00:00"/>
    <x v="0"/>
    <x v="0"/>
    <x v="0"/>
  </r>
  <r>
    <n v="6137"/>
    <d v="2013-02-26T00:00:00"/>
    <x v="0"/>
    <x v="0"/>
    <x v="0"/>
  </r>
  <r>
    <n v="6144"/>
    <d v="2011-12-08T00:00:00"/>
    <x v="181"/>
    <x v="5"/>
    <x v="0"/>
  </r>
  <r>
    <n v="6152"/>
    <d v="2006-02-07T00:00:00"/>
    <x v="0"/>
    <x v="0"/>
    <x v="0"/>
  </r>
  <r>
    <n v="6156"/>
    <d v="2016-04-07T00:00:00"/>
    <x v="182"/>
    <x v="5"/>
    <x v="0"/>
  </r>
  <r>
    <n v="6157"/>
    <d v="2013-12-09T00:00:00"/>
    <x v="0"/>
    <x v="0"/>
    <x v="0"/>
  </r>
  <r>
    <n v="6159"/>
    <d v="2011-05-21T00:00:00"/>
    <x v="0"/>
    <x v="0"/>
    <x v="0"/>
  </r>
  <r>
    <n v="6161"/>
    <d v="2008-07-23T00:00:00"/>
    <x v="0"/>
    <x v="0"/>
    <x v="0"/>
  </r>
  <r>
    <n v="6164"/>
    <d v="2008-08-15T00:00:00"/>
    <x v="183"/>
    <x v="1"/>
    <x v="0"/>
  </r>
  <r>
    <n v="6168"/>
    <d v="2018-08-29T00:00:00"/>
    <x v="0"/>
    <x v="0"/>
    <x v="0"/>
  </r>
  <r>
    <n v="6171"/>
    <d v="2011-02-23T00:00:00"/>
    <x v="0"/>
    <x v="0"/>
    <x v="0"/>
  </r>
  <r>
    <n v="6173"/>
    <d v="2010-11-14T00:00:00"/>
    <x v="0"/>
    <x v="0"/>
    <x v="0"/>
  </r>
  <r>
    <n v="6178"/>
    <d v="2014-03-28T00:00:00"/>
    <x v="0"/>
    <x v="0"/>
    <x v="0"/>
  </r>
  <r>
    <n v="6182"/>
    <d v="2002-06-22T00:00:00"/>
    <x v="0"/>
    <x v="0"/>
    <x v="0"/>
  </r>
  <r>
    <n v="6191"/>
    <d v="2007-05-10T00:00:00"/>
    <x v="0"/>
    <x v="0"/>
    <x v="0"/>
  </r>
  <r>
    <n v="6199"/>
    <d v="2012-10-11T00:00:00"/>
    <x v="184"/>
    <x v="6"/>
    <x v="0"/>
  </r>
  <r>
    <n v="6208"/>
    <d v="2018-01-21T00:00:00"/>
    <x v="0"/>
    <x v="0"/>
    <x v="0"/>
  </r>
  <r>
    <n v="6210"/>
    <d v="2014-06-04T00:00:00"/>
    <x v="185"/>
    <x v="3"/>
    <x v="0"/>
  </r>
  <r>
    <n v="6211"/>
    <d v="2016-08-30T00:00:00"/>
    <x v="0"/>
    <x v="0"/>
    <x v="0"/>
  </r>
  <r>
    <n v="6213"/>
    <d v="2015-01-17T00:00:00"/>
    <x v="0"/>
    <x v="0"/>
    <x v="0"/>
  </r>
  <r>
    <n v="6214"/>
    <d v="2019-10-23T00:00:00"/>
    <x v="0"/>
    <x v="0"/>
    <x v="0"/>
  </r>
  <r>
    <n v="6223"/>
    <d v="2002-01-09T00:00:00"/>
    <x v="0"/>
    <x v="0"/>
    <x v="0"/>
  </r>
  <r>
    <n v="6227"/>
    <d v="2017-11-20T00:00:00"/>
    <x v="0"/>
    <x v="0"/>
    <x v="0"/>
  </r>
  <r>
    <n v="6228"/>
    <d v="2006-04-02T00:00:00"/>
    <x v="0"/>
    <x v="0"/>
    <x v="0"/>
  </r>
  <r>
    <n v="6230"/>
    <d v="2009-03-17T00:00:00"/>
    <x v="0"/>
    <x v="0"/>
    <x v="0"/>
  </r>
  <r>
    <n v="6233"/>
    <d v="2006-11-02T00:00:00"/>
    <x v="186"/>
    <x v="1"/>
    <x v="0"/>
  </r>
  <r>
    <n v="6240"/>
    <d v="2020-12-08T00:00:00"/>
    <x v="0"/>
    <x v="0"/>
    <x v="0"/>
  </r>
  <r>
    <n v="6242"/>
    <d v="2016-03-05T00:00:00"/>
    <x v="0"/>
    <x v="0"/>
    <x v="0"/>
  </r>
  <r>
    <n v="6244"/>
    <d v="2020-01-24T00:00:00"/>
    <x v="0"/>
    <x v="0"/>
    <x v="0"/>
  </r>
  <r>
    <n v="6245"/>
    <d v="2009-04-12T00:00:00"/>
    <x v="0"/>
    <x v="0"/>
    <x v="0"/>
  </r>
  <r>
    <n v="6249"/>
    <d v="2002-06-01T00:00:00"/>
    <x v="0"/>
    <x v="0"/>
    <x v="0"/>
  </r>
  <r>
    <n v="6250"/>
    <d v="2003-03-09T00:00:00"/>
    <x v="0"/>
    <x v="0"/>
    <x v="0"/>
  </r>
  <r>
    <n v="6255"/>
    <d v="2018-07-30T00:00:00"/>
    <x v="0"/>
    <x v="0"/>
    <x v="0"/>
  </r>
  <r>
    <n v="6258"/>
    <d v="2002-09-01T00:00:00"/>
    <x v="0"/>
    <x v="0"/>
    <x v="0"/>
  </r>
  <r>
    <n v="6260"/>
    <d v="2004-02-12T00:00:00"/>
    <x v="0"/>
    <x v="0"/>
    <x v="0"/>
  </r>
  <r>
    <n v="6269"/>
    <d v="2005-10-05T00:00:00"/>
    <x v="0"/>
    <x v="0"/>
    <x v="0"/>
  </r>
  <r>
    <n v="6273"/>
    <d v="2012-08-09T00:00:00"/>
    <x v="0"/>
    <x v="0"/>
    <x v="0"/>
  </r>
  <r>
    <n v="6274"/>
    <d v="2003-07-15T00:00:00"/>
    <x v="0"/>
    <x v="0"/>
    <x v="0"/>
  </r>
  <r>
    <n v="6281"/>
    <d v="2003-08-11T00:00:00"/>
    <x v="187"/>
    <x v="5"/>
    <x v="0"/>
  </r>
  <r>
    <n v="6297"/>
    <d v="2009-06-08T00:00:00"/>
    <x v="0"/>
    <x v="0"/>
    <x v="0"/>
  </r>
  <r>
    <n v="6300"/>
    <d v="2002-12-23T00:00:00"/>
    <x v="0"/>
    <x v="0"/>
    <x v="0"/>
  </r>
  <r>
    <n v="6305"/>
    <d v="2011-01-29T00:00:00"/>
    <x v="0"/>
    <x v="0"/>
    <x v="0"/>
  </r>
  <r>
    <n v="6308"/>
    <d v="2005-04-03T00:00:00"/>
    <x v="0"/>
    <x v="0"/>
    <x v="0"/>
  </r>
  <r>
    <n v="6309"/>
    <d v="2002-05-13T00:00:00"/>
    <x v="0"/>
    <x v="0"/>
    <x v="0"/>
  </r>
  <r>
    <n v="6319"/>
    <d v="2003-06-04T00:00:00"/>
    <x v="0"/>
    <x v="0"/>
    <x v="0"/>
  </r>
  <r>
    <n v="6322"/>
    <d v="2018-06-30T00:00:00"/>
    <x v="0"/>
    <x v="0"/>
    <x v="0"/>
  </r>
  <r>
    <n v="6335"/>
    <d v="2010-07-23T00:00:00"/>
    <x v="0"/>
    <x v="0"/>
    <x v="0"/>
  </r>
  <r>
    <n v="6336"/>
    <d v="2014-04-06T00:00:00"/>
    <x v="0"/>
    <x v="0"/>
    <x v="0"/>
  </r>
  <r>
    <n v="6339"/>
    <d v="2013-04-04T00:00:00"/>
    <x v="0"/>
    <x v="0"/>
    <x v="0"/>
  </r>
  <r>
    <n v="6342"/>
    <d v="2002-07-29T00:00:00"/>
    <x v="0"/>
    <x v="0"/>
    <x v="0"/>
  </r>
  <r>
    <n v="6350"/>
    <d v="2012-12-29T00:00:00"/>
    <x v="188"/>
    <x v="2"/>
    <x v="0"/>
  </r>
  <r>
    <n v="6357"/>
    <d v="2005-01-19T00:00:00"/>
    <x v="189"/>
    <x v="5"/>
    <x v="0"/>
  </r>
  <r>
    <n v="6361"/>
    <d v="2020-09-12T00:00:00"/>
    <x v="0"/>
    <x v="0"/>
    <x v="0"/>
  </r>
  <r>
    <n v="6364"/>
    <d v="2010-12-08T00:00:00"/>
    <x v="190"/>
    <x v="2"/>
    <x v="0"/>
  </r>
  <r>
    <n v="6367"/>
    <d v="2017-04-07T00:00:00"/>
    <x v="0"/>
    <x v="0"/>
    <x v="0"/>
  </r>
  <r>
    <n v="6375"/>
    <d v="2018-03-30T00:00:00"/>
    <x v="0"/>
    <x v="0"/>
    <x v="0"/>
  </r>
  <r>
    <n v="6380"/>
    <d v="2004-12-28T00:00:00"/>
    <x v="0"/>
    <x v="0"/>
    <x v="0"/>
  </r>
  <r>
    <n v="6381"/>
    <d v="2018-06-29T00:00:00"/>
    <x v="0"/>
    <x v="0"/>
    <x v="0"/>
  </r>
  <r>
    <n v="6382"/>
    <d v="2015-05-07T00:00:00"/>
    <x v="0"/>
    <x v="0"/>
    <x v="0"/>
  </r>
  <r>
    <n v="6389"/>
    <d v="2016-07-08T00:00:00"/>
    <x v="0"/>
    <x v="0"/>
    <x v="0"/>
  </r>
  <r>
    <n v="6396"/>
    <d v="2003-09-20T00:00:00"/>
    <x v="0"/>
    <x v="0"/>
    <x v="0"/>
  </r>
  <r>
    <n v="6401"/>
    <d v="2009-08-22T00:00:00"/>
    <x v="0"/>
    <x v="0"/>
    <x v="0"/>
  </r>
  <r>
    <n v="6404"/>
    <d v="2015-11-04T00:00:00"/>
    <x v="99"/>
    <x v="2"/>
    <x v="0"/>
  </r>
  <r>
    <n v="6414"/>
    <d v="2016-02-20T00:00:00"/>
    <x v="0"/>
    <x v="0"/>
    <x v="0"/>
  </r>
  <r>
    <n v="6418"/>
    <d v="2011-05-22T00:00:00"/>
    <x v="0"/>
    <x v="0"/>
    <x v="0"/>
  </r>
  <r>
    <n v="6423"/>
    <d v="2009-05-06T00:00:00"/>
    <x v="0"/>
    <x v="0"/>
    <x v="0"/>
  </r>
  <r>
    <n v="6425"/>
    <d v="2003-04-18T00:00:00"/>
    <x v="0"/>
    <x v="0"/>
    <x v="0"/>
  </r>
  <r>
    <n v="6427"/>
    <d v="2010-05-01T00:00:00"/>
    <x v="191"/>
    <x v="7"/>
    <x v="0"/>
  </r>
  <r>
    <n v="6438"/>
    <d v="2017-11-07T00:00:00"/>
    <x v="192"/>
    <x v="2"/>
    <x v="1"/>
  </r>
  <r>
    <n v="6440"/>
    <d v="2004-03-10T00:00:00"/>
    <x v="0"/>
    <x v="0"/>
    <x v="0"/>
  </r>
  <r>
    <n v="6443"/>
    <d v="2014-11-02T00:00:00"/>
    <x v="0"/>
    <x v="0"/>
    <x v="0"/>
  </r>
  <r>
    <n v="6451"/>
    <d v="2012-03-26T00:00:00"/>
    <x v="193"/>
    <x v="7"/>
    <x v="0"/>
  </r>
  <r>
    <n v="6460"/>
    <d v="2002-06-04T00:00:00"/>
    <x v="0"/>
    <x v="0"/>
    <x v="0"/>
  </r>
  <r>
    <n v="6461"/>
    <d v="2019-06-19T00:00:00"/>
    <x v="0"/>
    <x v="0"/>
    <x v="0"/>
  </r>
  <r>
    <n v="6462"/>
    <d v="2004-02-13T00:00:00"/>
    <x v="0"/>
    <x v="0"/>
    <x v="0"/>
  </r>
  <r>
    <n v="6469"/>
    <d v="2004-10-05T00:00:00"/>
    <x v="0"/>
    <x v="0"/>
    <x v="0"/>
  </r>
  <r>
    <n v="6471"/>
    <d v="2014-01-31T00:00:00"/>
    <x v="0"/>
    <x v="0"/>
    <x v="0"/>
  </r>
  <r>
    <n v="6480"/>
    <d v="2013-11-14T00:00:00"/>
    <x v="0"/>
    <x v="0"/>
    <x v="0"/>
  </r>
  <r>
    <n v="6486"/>
    <d v="2016-02-11T00:00:00"/>
    <x v="0"/>
    <x v="0"/>
    <x v="0"/>
  </r>
  <r>
    <n v="6491"/>
    <d v="2018-05-30T00:00:00"/>
    <x v="0"/>
    <x v="0"/>
    <x v="0"/>
  </r>
  <r>
    <n v="6493"/>
    <d v="2002-01-30T00:00:00"/>
    <x v="0"/>
    <x v="0"/>
    <x v="0"/>
  </r>
  <r>
    <n v="6508"/>
    <d v="2002-03-03T00:00:00"/>
    <x v="0"/>
    <x v="0"/>
    <x v="0"/>
  </r>
  <r>
    <n v="6513"/>
    <d v="2013-06-21T00:00:00"/>
    <x v="0"/>
    <x v="0"/>
    <x v="0"/>
  </r>
  <r>
    <n v="6519"/>
    <d v="2015-10-03T00:00:00"/>
    <x v="0"/>
    <x v="0"/>
    <x v="0"/>
  </r>
  <r>
    <n v="6525"/>
    <d v="2021-08-16T00:00:00"/>
    <x v="194"/>
    <x v="1"/>
    <x v="0"/>
  </r>
  <r>
    <n v="6526"/>
    <d v="2011-11-08T00:00:00"/>
    <x v="0"/>
    <x v="0"/>
    <x v="0"/>
  </r>
  <r>
    <n v="6532"/>
    <d v="2004-05-02T00:00:00"/>
    <x v="0"/>
    <x v="0"/>
    <x v="0"/>
  </r>
  <r>
    <n v="6535"/>
    <d v="2004-11-07T00:00:00"/>
    <x v="195"/>
    <x v="2"/>
    <x v="0"/>
  </r>
  <r>
    <n v="6538"/>
    <d v="2015-09-05T00:00:00"/>
    <x v="0"/>
    <x v="0"/>
    <x v="0"/>
  </r>
  <r>
    <n v="6539"/>
    <d v="2014-05-22T00:00:00"/>
    <x v="0"/>
    <x v="0"/>
    <x v="0"/>
  </r>
  <r>
    <n v="6557"/>
    <d v="2017-07-13T00:00:00"/>
    <x v="0"/>
    <x v="0"/>
    <x v="0"/>
  </r>
  <r>
    <n v="6561"/>
    <d v="2002-06-07T00:00:00"/>
    <x v="0"/>
    <x v="0"/>
    <x v="0"/>
  </r>
  <r>
    <n v="6562"/>
    <d v="2003-11-25T00:00:00"/>
    <x v="0"/>
    <x v="0"/>
    <x v="0"/>
  </r>
  <r>
    <n v="6567"/>
    <d v="2005-11-08T00:00:00"/>
    <x v="0"/>
    <x v="0"/>
    <x v="0"/>
  </r>
  <r>
    <n v="6572"/>
    <d v="2021-05-16T00:00:00"/>
    <x v="196"/>
    <x v="3"/>
    <x v="1"/>
  </r>
  <r>
    <n v="6576"/>
    <d v="2009-10-28T00:00:00"/>
    <x v="197"/>
    <x v="3"/>
    <x v="0"/>
  </r>
  <r>
    <n v="6578"/>
    <d v="2014-06-10T00:00:00"/>
    <x v="0"/>
    <x v="0"/>
    <x v="0"/>
  </r>
  <r>
    <n v="6581"/>
    <d v="2020-11-22T00:00:00"/>
    <x v="0"/>
    <x v="0"/>
    <x v="0"/>
  </r>
  <r>
    <n v="6583"/>
    <d v="2011-04-05T00:00:00"/>
    <x v="0"/>
    <x v="0"/>
    <x v="0"/>
  </r>
  <r>
    <n v="6588"/>
    <d v="2010-11-06T00:00:00"/>
    <x v="198"/>
    <x v="5"/>
    <x v="0"/>
  </r>
  <r>
    <n v="6595"/>
    <d v="2012-10-29T00:00:00"/>
    <x v="199"/>
    <x v="2"/>
    <x v="0"/>
  </r>
  <r>
    <n v="6602"/>
    <d v="2020-01-02T00:00:00"/>
    <x v="200"/>
    <x v="1"/>
    <x v="0"/>
  </r>
  <r>
    <n v="6605"/>
    <d v="2006-07-29T00:00:00"/>
    <x v="201"/>
    <x v="7"/>
    <x v="0"/>
  </r>
  <r>
    <n v="6614"/>
    <d v="2010-09-21T00:00:00"/>
    <x v="0"/>
    <x v="0"/>
    <x v="0"/>
  </r>
  <r>
    <n v="6615"/>
    <d v="2005-10-14T00:00:00"/>
    <x v="202"/>
    <x v="1"/>
    <x v="0"/>
  </r>
  <r>
    <n v="6625"/>
    <d v="2007-02-22T00:00:00"/>
    <x v="203"/>
    <x v="1"/>
    <x v="0"/>
  </r>
  <r>
    <n v="6632"/>
    <d v="2003-05-30T00:00:00"/>
    <x v="0"/>
    <x v="0"/>
    <x v="0"/>
  </r>
  <r>
    <n v="6634"/>
    <d v="2003-05-05T00:00:00"/>
    <x v="0"/>
    <x v="0"/>
    <x v="0"/>
  </r>
  <r>
    <n v="6640"/>
    <d v="2018-06-21T00:00:00"/>
    <x v="0"/>
    <x v="0"/>
    <x v="0"/>
  </r>
  <r>
    <n v="6645"/>
    <d v="2002-05-05T00:00:00"/>
    <x v="0"/>
    <x v="0"/>
    <x v="0"/>
  </r>
  <r>
    <n v="6648"/>
    <d v="2008-06-27T00:00:00"/>
    <x v="0"/>
    <x v="0"/>
    <x v="0"/>
  </r>
  <r>
    <n v="6650"/>
    <d v="2017-03-06T00:00:00"/>
    <x v="0"/>
    <x v="0"/>
    <x v="0"/>
  </r>
  <r>
    <n v="6658"/>
    <d v="2008-04-29T00:00:00"/>
    <x v="0"/>
    <x v="0"/>
    <x v="0"/>
  </r>
  <r>
    <n v="6666"/>
    <d v="2015-09-03T00:00:00"/>
    <x v="0"/>
    <x v="0"/>
    <x v="0"/>
  </r>
  <r>
    <n v="6668"/>
    <d v="2016-09-08T00:00:00"/>
    <x v="0"/>
    <x v="0"/>
    <x v="0"/>
  </r>
  <r>
    <n v="6669"/>
    <d v="2006-09-26T00:00:00"/>
    <x v="0"/>
    <x v="0"/>
    <x v="0"/>
  </r>
  <r>
    <n v="6679"/>
    <d v="2007-06-17T00:00:00"/>
    <x v="0"/>
    <x v="0"/>
    <x v="0"/>
  </r>
  <r>
    <n v="6685"/>
    <d v="2004-03-08T00:00:00"/>
    <x v="204"/>
    <x v="1"/>
    <x v="0"/>
  </r>
  <r>
    <n v="6696"/>
    <d v="2009-04-24T00:00:00"/>
    <x v="205"/>
    <x v="1"/>
    <x v="0"/>
  </r>
  <r>
    <n v="6697"/>
    <d v="2013-01-30T00:00:00"/>
    <x v="0"/>
    <x v="0"/>
    <x v="0"/>
  </r>
  <r>
    <n v="6698"/>
    <d v="2015-01-05T00:00:00"/>
    <x v="0"/>
    <x v="0"/>
    <x v="0"/>
  </r>
  <r>
    <n v="6706"/>
    <d v="2019-09-25T00:00:00"/>
    <x v="0"/>
    <x v="0"/>
    <x v="0"/>
  </r>
  <r>
    <n v="6707"/>
    <d v="2005-07-24T00:00:00"/>
    <x v="0"/>
    <x v="0"/>
    <x v="0"/>
  </r>
  <r>
    <n v="6709"/>
    <d v="2016-01-28T00:00:00"/>
    <x v="0"/>
    <x v="0"/>
    <x v="0"/>
  </r>
  <r>
    <n v="6711"/>
    <d v="2010-07-20T00:00:00"/>
    <x v="0"/>
    <x v="0"/>
    <x v="0"/>
  </r>
  <r>
    <n v="6729"/>
    <d v="2010-09-21T00:00:00"/>
    <x v="206"/>
    <x v="7"/>
    <x v="0"/>
  </r>
  <r>
    <n v="6741"/>
    <d v="2020-01-24T00:00:00"/>
    <x v="0"/>
    <x v="0"/>
    <x v="0"/>
  </r>
  <r>
    <n v="6768"/>
    <d v="2007-12-11T00:00:00"/>
    <x v="207"/>
    <x v="4"/>
    <x v="0"/>
  </r>
  <r>
    <n v="6770"/>
    <d v="2020-10-12T00:00:00"/>
    <x v="0"/>
    <x v="0"/>
    <x v="0"/>
  </r>
  <r>
    <n v="6774"/>
    <d v="2017-03-27T00:00:00"/>
    <x v="208"/>
    <x v="6"/>
    <x v="0"/>
  </r>
  <r>
    <n v="6779"/>
    <d v="2020-10-30T00:00:00"/>
    <x v="0"/>
    <x v="0"/>
    <x v="0"/>
  </r>
  <r>
    <n v="6787"/>
    <d v="2003-04-03T00:00:00"/>
    <x v="0"/>
    <x v="0"/>
    <x v="0"/>
  </r>
  <r>
    <n v="6806"/>
    <d v="2003-07-19T00:00:00"/>
    <x v="0"/>
    <x v="0"/>
    <x v="0"/>
  </r>
  <r>
    <n v="6810"/>
    <d v="2012-06-05T00:00:00"/>
    <x v="209"/>
    <x v="4"/>
    <x v="0"/>
  </r>
  <r>
    <n v="6813"/>
    <d v="2011-09-17T00:00:00"/>
    <x v="0"/>
    <x v="0"/>
    <x v="0"/>
  </r>
  <r>
    <n v="6824"/>
    <d v="2003-09-18T00:00:00"/>
    <x v="0"/>
    <x v="0"/>
    <x v="0"/>
  </r>
  <r>
    <n v="6829"/>
    <d v="2016-07-22T00:00:00"/>
    <x v="0"/>
    <x v="0"/>
    <x v="0"/>
  </r>
  <r>
    <n v="6830"/>
    <d v="2004-02-16T00:00:00"/>
    <x v="0"/>
    <x v="0"/>
    <x v="0"/>
  </r>
  <r>
    <n v="6842"/>
    <d v="2017-06-10T00:00:00"/>
    <x v="0"/>
    <x v="0"/>
    <x v="0"/>
  </r>
  <r>
    <n v="6843"/>
    <d v="2011-07-21T00:00:00"/>
    <x v="0"/>
    <x v="0"/>
    <x v="0"/>
  </r>
  <r>
    <n v="6849"/>
    <d v="2013-03-04T00:00:00"/>
    <x v="0"/>
    <x v="0"/>
    <x v="0"/>
  </r>
  <r>
    <n v="6850"/>
    <d v="2017-02-23T00:00:00"/>
    <x v="0"/>
    <x v="0"/>
    <x v="0"/>
  </r>
  <r>
    <n v="6858"/>
    <d v="2014-08-20T00:00:00"/>
    <x v="0"/>
    <x v="0"/>
    <x v="0"/>
  </r>
  <r>
    <n v="6866"/>
    <d v="2011-09-20T00:00:00"/>
    <x v="210"/>
    <x v="2"/>
    <x v="0"/>
  </r>
  <r>
    <n v="6871"/>
    <d v="2013-07-13T00:00:00"/>
    <x v="211"/>
    <x v="1"/>
    <x v="0"/>
  </r>
  <r>
    <n v="6874"/>
    <d v="2012-08-29T00:00:00"/>
    <x v="0"/>
    <x v="0"/>
    <x v="0"/>
  </r>
  <r>
    <n v="6880"/>
    <d v="2015-12-21T00:00:00"/>
    <x v="0"/>
    <x v="0"/>
    <x v="0"/>
  </r>
  <r>
    <n v="6887"/>
    <d v="2009-01-12T00:00:00"/>
    <x v="0"/>
    <x v="0"/>
    <x v="0"/>
  </r>
  <r>
    <n v="6890"/>
    <d v="2008-10-18T00:00:00"/>
    <x v="0"/>
    <x v="0"/>
    <x v="0"/>
  </r>
  <r>
    <n v="6893"/>
    <d v="2009-05-27T00:00:00"/>
    <x v="0"/>
    <x v="0"/>
    <x v="0"/>
  </r>
  <r>
    <n v="6904"/>
    <d v="2018-05-29T00:00:00"/>
    <x v="0"/>
    <x v="0"/>
    <x v="0"/>
  </r>
  <r>
    <n v="6907"/>
    <d v="2012-12-12T00:00:00"/>
    <x v="0"/>
    <x v="0"/>
    <x v="0"/>
  </r>
  <r>
    <n v="6909"/>
    <d v="2016-01-16T00:00:00"/>
    <x v="212"/>
    <x v="1"/>
    <x v="0"/>
  </r>
  <r>
    <n v="6913"/>
    <d v="2018-08-01T00:00:00"/>
    <x v="0"/>
    <x v="0"/>
    <x v="0"/>
  </r>
  <r>
    <n v="6915"/>
    <d v="2007-09-26T00:00:00"/>
    <x v="0"/>
    <x v="0"/>
    <x v="0"/>
  </r>
  <r>
    <n v="6921"/>
    <d v="2004-06-30T00:00:00"/>
    <x v="0"/>
    <x v="0"/>
    <x v="0"/>
  </r>
  <r>
    <n v="6928"/>
    <d v="2007-11-15T00:00:00"/>
    <x v="213"/>
    <x v="5"/>
    <x v="0"/>
  </r>
  <r>
    <n v="6939"/>
    <d v="2021-02-11T00:00:00"/>
    <x v="214"/>
    <x v="8"/>
    <x v="0"/>
  </r>
  <r>
    <n v="6942"/>
    <d v="2018-07-20T00:00:00"/>
    <x v="0"/>
    <x v="0"/>
    <x v="0"/>
  </r>
  <r>
    <n v="6946"/>
    <d v="2002-02-13T00:00:00"/>
    <x v="0"/>
    <x v="0"/>
    <x v="0"/>
  </r>
  <r>
    <n v="6951"/>
    <d v="2005-02-10T00:00:00"/>
    <x v="215"/>
    <x v="2"/>
    <x v="0"/>
  </r>
  <r>
    <n v="6957"/>
    <d v="2018-07-31T00:00:00"/>
    <x v="0"/>
    <x v="0"/>
    <x v="0"/>
  </r>
  <r>
    <n v="6965"/>
    <d v="2004-01-22T00:00:00"/>
    <x v="0"/>
    <x v="0"/>
    <x v="0"/>
  </r>
  <r>
    <n v="6977"/>
    <d v="2005-11-25T00:00:00"/>
    <x v="0"/>
    <x v="0"/>
    <x v="0"/>
  </r>
  <r>
    <n v="6982"/>
    <d v="2002-05-27T00:00:00"/>
    <x v="0"/>
    <x v="0"/>
    <x v="0"/>
  </r>
  <r>
    <n v="6983"/>
    <d v="2017-01-12T00:00:00"/>
    <x v="0"/>
    <x v="0"/>
    <x v="0"/>
  </r>
  <r>
    <n v="6984"/>
    <d v="2018-11-03T00:00:00"/>
    <x v="0"/>
    <x v="0"/>
    <x v="0"/>
  </r>
  <r>
    <n v="6989"/>
    <d v="2013-05-13T00:00:00"/>
    <x v="0"/>
    <x v="0"/>
    <x v="0"/>
  </r>
  <r>
    <n v="6997"/>
    <d v="2005-04-06T00:00:00"/>
    <x v="0"/>
    <x v="0"/>
    <x v="0"/>
  </r>
  <r>
    <n v="6999"/>
    <d v="2003-06-02T00:00:00"/>
    <x v="0"/>
    <x v="0"/>
    <x v="0"/>
  </r>
  <r>
    <n v="7007"/>
    <d v="2004-05-01T00:00:00"/>
    <x v="216"/>
    <x v="4"/>
    <x v="0"/>
  </r>
  <r>
    <n v="7016"/>
    <d v="2014-11-28T00:00:00"/>
    <x v="0"/>
    <x v="0"/>
    <x v="0"/>
  </r>
  <r>
    <n v="7021"/>
    <d v="2015-12-06T00:00:00"/>
    <x v="0"/>
    <x v="0"/>
    <x v="0"/>
  </r>
  <r>
    <n v="7022"/>
    <d v="2018-01-18T00:00:00"/>
    <x v="0"/>
    <x v="0"/>
    <x v="0"/>
  </r>
  <r>
    <n v="7024"/>
    <d v="2018-05-28T00:00:00"/>
    <x v="0"/>
    <x v="0"/>
    <x v="0"/>
  </r>
  <r>
    <n v="7033"/>
    <d v="2012-10-13T00:00:00"/>
    <x v="0"/>
    <x v="0"/>
    <x v="0"/>
  </r>
  <r>
    <n v="7044"/>
    <d v="2008-07-01T00:00:00"/>
    <x v="0"/>
    <x v="0"/>
    <x v="0"/>
  </r>
  <r>
    <n v="7049"/>
    <d v="2009-06-05T00:00:00"/>
    <x v="0"/>
    <x v="0"/>
    <x v="0"/>
  </r>
  <r>
    <n v="7051"/>
    <d v="2012-12-17T00:00:00"/>
    <x v="0"/>
    <x v="0"/>
    <x v="0"/>
  </r>
  <r>
    <n v="7053"/>
    <d v="2010-05-13T00:00:00"/>
    <x v="0"/>
    <x v="0"/>
    <x v="0"/>
  </r>
  <r>
    <n v="7059"/>
    <d v="2011-07-23T00:00:00"/>
    <x v="0"/>
    <x v="0"/>
    <x v="0"/>
  </r>
  <r>
    <n v="7062"/>
    <d v="2002-01-22T00:00:00"/>
    <x v="0"/>
    <x v="0"/>
    <x v="0"/>
  </r>
  <r>
    <n v="7065"/>
    <d v="2007-10-08T00:00:00"/>
    <x v="0"/>
    <x v="0"/>
    <x v="0"/>
  </r>
  <r>
    <n v="7071"/>
    <d v="2012-09-22T00:00:00"/>
    <x v="0"/>
    <x v="0"/>
    <x v="0"/>
  </r>
  <r>
    <n v="7073"/>
    <d v="2004-01-16T00:00:00"/>
    <x v="0"/>
    <x v="0"/>
    <x v="0"/>
  </r>
  <r>
    <n v="7101"/>
    <d v="2005-03-22T00:00:00"/>
    <x v="217"/>
    <x v="1"/>
    <x v="0"/>
  </r>
  <r>
    <n v="7105"/>
    <d v="2004-11-25T00:00:00"/>
    <x v="218"/>
    <x v="1"/>
    <x v="0"/>
  </r>
  <r>
    <n v="7110"/>
    <d v="2005-04-28T00:00:00"/>
    <x v="0"/>
    <x v="0"/>
    <x v="0"/>
  </r>
  <r>
    <n v="7112"/>
    <d v="2012-03-14T00:00:00"/>
    <x v="0"/>
    <x v="0"/>
    <x v="0"/>
  </r>
  <r>
    <n v="7120"/>
    <d v="2012-09-24T00:00:00"/>
    <x v="0"/>
    <x v="0"/>
    <x v="0"/>
  </r>
  <r>
    <n v="7123"/>
    <d v="2017-12-29T00:00:00"/>
    <x v="0"/>
    <x v="0"/>
    <x v="0"/>
  </r>
  <r>
    <n v="7127"/>
    <d v="2002-02-06T00:00:00"/>
    <x v="0"/>
    <x v="0"/>
    <x v="0"/>
  </r>
  <r>
    <n v="7134"/>
    <d v="2021-12-14T00:00:00"/>
    <x v="219"/>
    <x v="6"/>
    <x v="1"/>
  </r>
  <r>
    <n v="7136"/>
    <d v="2012-05-09T00:00:00"/>
    <x v="0"/>
    <x v="0"/>
    <x v="0"/>
  </r>
  <r>
    <n v="7145"/>
    <d v="2011-04-24T00:00:00"/>
    <x v="0"/>
    <x v="0"/>
    <x v="0"/>
  </r>
  <r>
    <n v="7156"/>
    <d v="2002-08-09T00:00:00"/>
    <x v="0"/>
    <x v="0"/>
    <x v="0"/>
  </r>
  <r>
    <n v="7158"/>
    <d v="2003-08-15T00:00:00"/>
    <x v="0"/>
    <x v="0"/>
    <x v="0"/>
  </r>
  <r>
    <n v="7165"/>
    <d v="2018-10-27T00:00:00"/>
    <x v="0"/>
    <x v="0"/>
    <x v="0"/>
  </r>
  <r>
    <n v="7175"/>
    <d v="2003-04-27T00:00:00"/>
    <x v="220"/>
    <x v="8"/>
    <x v="0"/>
  </r>
  <r>
    <n v="7182"/>
    <d v="2008-01-29T00:00:00"/>
    <x v="0"/>
    <x v="0"/>
    <x v="0"/>
  </r>
  <r>
    <n v="7183"/>
    <d v="2009-11-06T00:00:00"/>
    <x v="0"/>
    <x v="0"/>
    <x v="0"/>
  </r>
  <r>
    <n v="7191"/>
    <d v="2014-09-16T00:00:00"/>
    <x v="0"/>
    <x v="0"/>
    <x v="0"/>
  </r>
  <r>
    <n v="7195"/>
    <d v="2010-06-09T00:00:00"/>
    <x v="0"/>
    <x v="0"/>
    <x v="0"/>
  </r>
  <r>
    <n v="7198"/>
    <d v="2003-04-04T00:00:00"/>
    <x v="0"/>
    <x v="0"/>
    <x v="0"/>
  </r>
  <r>
    <n v="7232"/>
    <d v="2003-12-23T00:00:00"/>
    <x v="0"/>
    <x v="0"/>
    <x v="0"/>
  </r>
  <r>
    <n v="7233"/>
    <d v="2009-09-28T00:00:00"/>
    <x v="221"/>
    <x v="1"/>
    <x v="0"/>
  </r>
  <r>
    <n v="7235"/>
    <d v="2006-09-06T00:00:00"/>
    <x v="0"/>
    <x v="0"/>
    <x v="0"/>
  </r>
  <r>
    <n v="7236"/>
    <d v="2005-11-08T00:00:00"/>
    <x v="0"/>
    <x v="0"/>
    <x v="0"/>
  </r>
  <r>
    <n v="7240"/>
    <d v="2018-12-22T00:00:00"/>
    <x v="0"/>
    <x v="0"/>
    <x v="0"/>
  </r>
  <r>
    <n v="7244"/>
    <d v="2019-11-14T00:00:00"/>
    <x v="0"/>
    <x v="0"/>
    <x v="0"/>
  </r>
  <r>
    <n v="7250"/>
    <d v="2017-02-26T00:00:00"/>
    <x v="0"/>
    <x v="0"/>
    <x v="0"/>
  </r>
  <r>
    <n v="7251"/>
    <d v="2008-02-17T00:00:00"/>
    <x v="0"/>
    <x v="0"/>
    <x v="0"/>
  </r>
  <r>
    <n v="7254"/>
    <d v="2014-06-18T00:00:00"/>
    <x v="0"/>
    <x v="0"/>
    <x v="0"/>
  </r>
  <r>
    <n v="7257"/>
    <d v="2018-06-04T00:00:00"/>
    <x v="0"/>
    <x v="0"/>
    <x v="0"/>
  </r>
  <r>
    <n v="7264"/>
    <d v="2004-02-05T00:00:00"/>
    <x v="0"/>
    <x v="0"/>
    <x v="0"/>
  </r>
  <r>
    <n v="7266"/>
    <d v="2008-05-13T00:00:00"/>
    <x v="0"/>
    <x v="0"/>
    <x v="0"/>
  </r>
  <r>
    <n v="7285"/>
    <d v="2012-07-26T00:00:00"/>
    <x v="0"/>
    <x v="0"/>
    <x v="0"/>
  </r>
  <r>
    <n v="7290"/>
    <d v="2004-08-24T00:00:00"/>
    <x v="222"/>
    <x v="8"/>
    <x v="0"/>
  </r>
  <r>
    <n v="7304"/>
    <d v="2003-12-26T00:00:00"/>
    <x v="0"/>
    <x v="0"/>
    <x v="0"/>
  </r>
  <r>
    <n v="7307"/>
    <d v="2003-11-11T00:00:00"/>
    <x v="0"/>
    <x v="0"/>
    <x v="0"/>
  </r>
  <r>
    <n v="7308"/>
    <d v="2015-10-15T00:00:00"/>
    <x v="0"/>
    <x v="0"/>
    <x v="0"/>
  </r>
  <r>
    <n v="7320"/>
    <d v="2012-06-11T00:00:00"/>
    <x v="0"/>
    <x v="0"/>
    <x v="0"/>
  </r>
  <r>
    <n v="7321"/>
    <d v="2018-10-04T00:00:00"/>
    <x v="0"/>
    <x v="0"/>
    <x v="0"/>
  </r>
  <r>
    <n v="7326"/>
    <d v="2009-06-17T00:00:00"/>
    <x v="0"/>
    <x v="0"/>
    <x v="0"/>
  </r>
  <r>
    <n v="7339"/>
    <d v="2009-02-22T00:00:00"/>
    <x v="0"/>
    <x v="0"/>
    <x v="0"/>
  </r>
  <r>
    <n v="7350"/>
    <d v="2008-02-28T00:00:00"/>
    <x v="124"/>
    <x v="2"/>
    <x v="0"/>
  </r>
  <r>
    <n v="7361"/>
    <d v="2017-08-04T00:00:00"/>
    <x v="0"/>
    <x v="0"/>
    <x v="0"/>
  </r>
  <r>
    <n v="7365"/>
    <d v="2004-10-30T00:00:00"/>
    <x v="0"/>
    <x v="0"/>
    <x v="0"/>
  </r>
  <r>
    <n v="7390"/>
    <d v="2004-08-15T00:00:00"/>
    <x v="0"/>
    <x v="0"/>
    <x v="0"/>
  </r>
  <r>
    <n v="7394"/>
    <d v="2019-03-10T00:00:00"/>
    <x v="223"/>
    <x v="7"/>
    <x v="0"/>
  </r>
  <r>
    <n v="7399"/>
    <d v="2007-03-20T00:00:00"/>
    <x v="0"/>
    <x v="0"/>
    <x v="0"/>
  </r>
  <r>
    <n v="7400"/>
    <d v="2015-07-11T00:00:00"/>
    <x v="0"/>
    <x v="0"/>
    <x v="0"/>
  </r>
  <r>
    <n v="7405"/>
    <d v="2005-08-11T00:00:00"/>
    <x v="0"/>
    <x v="0"/>
    <x v="0"/>
  </r>
  <r>
    <n v="7414"/>
    <d v="2003-04-22T00:00:00"/>
    <x v="0"/>
    <x v="0"/>
    <x v="0"/>
  </r>
  <r>
    <n v="7417"/>
    <d v="2019-08-23T00:00:00"/>
    <x v="0"/>
    <x v="0"/>
    <x v="0"/>
  </r>
  <r>
    <n v="7418"/>
    <d v="2011-02-21T00:00:00"/>
    <x v="0"/>
    <x v="0"/>
    <x v="0"/>
  </r>
  <r>
    <n v="7430"/>
    <d v="2020-06-16T00:00:00"/>
    <x v="0"/>
    <x v="0"/>
    <x v="0"/>
  </r>
  <r>
    <n v="7433"/>
    <d v="2019-09-14T00:00:00"/>
    <x v="0"/>
    <x v="0"/>
    <x v="0"/>
  </r>
  <r>
    <n v="7434"/>
    <d v="2020-03-14T00:00:00"/>
    <x v="125"/>
    <x v="3"/>
    <x v="0"/>
  </r>
  <r>
    <n v="7443"/>
    <d v="2018-02-12T00:00:00"/>
    <x v="224"/>
    <x v="5"/>
    <x v="0"/>
  </r>
  <r>
    <n v="7445"/>
    <d v="2009-05-18T00:00:00"/>
    <x v="0"/>
    <x v="0"/>
    <x v="0"/>
  </r>
  <r>
    <n v="7451"/>
    <d v="2002-07-03T00:00:00"/>
    <x v="0"/>
    <x v="0"/>
    <x v="0"/>
  </r>
  <r>
    <n v="7469"/>
    <d v="2004-08-01T00:00:00"/>
    <x v="0"/>
    <x v="0"/>
    <x v="0"/>
  </r>
  <r>
    <n v="7472"/>
    <d v="2008-05-29T00:00:00"/>
    <x v="0"/>
    <x v="0"/>
    <x v="0"/>
  </r>
  <r>
    <n v="7473"/>
    <d v="2005-11-29T00:00:00"/>
    <x v="0"/>
    <x v="0"/>
    <x v="0"/>
  </r>
  <r>
    <n v="7478"/>
    <d v="2019-05-09T00:00:00"/>
    <x v="0"/>
    <x v="0"/>
    <x v="0"/>
  </r>
  <r>
    <n v="7482"/>
    <d v="2008-01-27T00:00:00"/>
    <x v="0"/>
    <x v="0"/>
    <x v="0"/>
  </r>
  <r>
    <n v="7489"/>
    <d v="2009-03-12T00:00:00"/>
    <x v="0"/>
    <x v="0"/>
    <x v="0"/>
  </r>
  <r>
    <n v="7497"/>
    <d v="2009-09-09T00:00:00"/>
    <x v="0"/>
    <x v="0"/>
    <x v="0"/>
  </r>
  <r>
    <n v="7516"/>
    <d v="2007-07-25T00:00:00"/>
    <x v="0"/>
    <x v="0"/>
    <x v="0"/>
  </r>
  <r>
    <n v="7521"/>
    <d v="2011-08-23T00:00:00"/>
    <x v="0"/>
    <x v="0"/>
    <x v="0"/>
  </r>
  <r>
    <n v="7534"/>
    <d v="2012-10-15T00:00:00"/>
    <x v="0"/>
    <x v="0"/>
    <x v="0"/>
  </r>
  <r>
    <n v="7540"/>
    <d v="2003-05-10T00:00:00"/>
    <x v="0"/>
    <x v="0"/>
    <x v="0"/>
  </r>
  <r>
    <n v="7552"/>
    <d v="2010-11-25T00:00:00"/>
    <x v="225"/>
    <x v="5"/>
    <x v="0"/>
  </r>
  <r>
    <n v="7564"/>
    <d v="2019-11-12T00:00:00"/>
    <x v="0"/>
    <x v="0"/>
    <x v="0"/>
  </r>
  <r>
    <n v="7565"/>
    <d v="2018-08-09T00:00:00"/>
    <x v="0"/>
    <x v="0"/>
    <x v="0"/>
  </r>
  <r>
    <n v="7568"/>
    <d v="2014-03-31T00:00:00"/>
    <x v="0"/>
    <x v="0"/>
    <x v="0"/>
  </r>
  <r>
    <n v="7573"/>
    <d v="2018-12-24T00:00:00"/>
    <x v="226"/>
    <x v="6"/>
    <x v="1"/>
  </r>
  <r>
    <n v="7577"/>
    <d v="2004-03-21T00:00:00"/>
    <x v="227"/>
    <x v="1"/>
    <x v="0"/>
  </r>
  <r>
    <n v="7580"/>
    <d v="2014-10-29T00:00:00"/>
    <x v="0"/>
    <x v="0"/>
    <x v="0"/>
  </r>
  <r>
    <n v="7592"/>
    <d v="2014-02-27T00:00:00"/>
    <x v="0"/>
    <x v="0"/>
    <x v="0"/>
  </r>
  <r>
    <n v="7593"/>
    <d v="2013-03-19T00:00:00"/>
    <x v="0"/>
    <x v="0"/>
    <x v="0"/>
  </r>
  <r>
    <n v="7597"/>
    <d v="2006-05-29T00:00:00"/>
    <x v="0"/>
    <x v="0"/>
    <x v="0"/>
  </r>
  <r>
    <n v="7599"/>
    <d v="2013-09-22T00:00:00"/>
    <x v="0"/>
    <x v="0"/>
    <x v="0"/>
  </r>
  <r>
    <n v="7601"/>
    <d v="2016-10-02T00:00:00"/>
    <x v="0"/>
    <x v="0"/>
    <x v="0"/>
  </r>
  <r>
    <n v="7604"/>
    <d v="2016-02-13T00:00:00"/>
    <x v="0"/>
    <x v="0"/>
    <x v="0"/>
  </r>
  <r>
    <n v="7610"/>
    <d v="2010-11-24T00:00:00"/>
    <x v="0"/>
    <x v="0"/>
    <x v="0"/>
  </r>
  <r>
    <n v="7640"/>
    <d v="2002-04-18T00:00:00"/>
    <x v="0"/>
    <x v="0"/>
    <x v="0"/>
  </r>
  <r>
    <n v="7643"/>
    <d v="2013-08-16T00:00:00"/>
    <x v="0"/>
    <x v="0"/>
    <x v="0"/>
  </r>
  <r>
    <n v="7648"/>
    <d v="2006-05-06T00:00:00"/>
    <x v="0"/>
    <x v="0"/>
    <x v="0"/>
  </r>
  <r>
    <n v="7650"/>
    <d v="2011-01-28T00:00:00"/>
    <x v="0"/>
    <x v="0"/>
    <x v="0"/>
  </r>
  <r>
    <n v="7671"/>
    <d v="2003-10-23T00:00:00"/>
    <x v="0"/>
    <x v="0"/>
    <x v="0"/>
  </r>
  <r>
    <n v="7676"/>
    <d v="2007-06-06T00:00:00"/>
    <x v="0"/>
    <x v="0"/>
    <x v="0"/>
  </r>
  <r>
    <n v="7677"/>
    <d v="2014-04-08T00:00:00"/>
    <x v="0"/>
    <x v="0"/>
    <x v="0"/>
  </r>
  <r>
    <n v="7681"/>
    <d v="2003-05-11T00:00:00"/>
    <x v="0"/>
    <x v="0"/>
    <x v="0"/>
  </r>
  <r>
    <n v="7692"/>
    <d v="2020-06-07T00:00:00"/>
    <x v="0"/>
    <x v="0"/>
    <x v="0"/>
  </r>
  <r>
    <n v="7698"/>
    <d v="2013-03-01T00:00:00"/>
    <x v="0"/>
    <x v="0"/>
    <x v="0"/>
  </r>
  <r>
    <n v="7714"/>
    <d v="2004-07-23T00:00:00"/>
    <x v="228"/>
    <x v="1"/>
    <x v="0"/>
  </r>
  <r>
    <n v="7717"/>
    <d v="2003-05-28T00:00:00"/>
    <x v="0"/>
    <x v="0"/>
    <x v="0"/>
  </r>
  <r>
    <n v="7726"/>
    <d v="2020-07-01T00:00:00"/>
    <x v="0"/>
    <x v="0"/>
    <x v="0"/>
  </r>
  <r>
    <n v="7728"/>
    <d v="2014-01-15T00:00:00"/>
    <x v="0"/>
    <x v="0"/>
    <x v="0"/>
  </r>
  <r>
    <n v="7729"/>
    <d v="2019-09-01T00:00:00"/>
    <x v="173"/>
    <x v="6"/>
    <x v="0"/>
  </r>
  <r>
    <n v="7736"/>
    <d v="2020-10-02T00:00:00"/>
    <x v="0"/>
    <x v="0"/>
    <x v="0"/>
  </r>
  <r>
    <n v="7750"/>
    <d v="2012-10-23T00:00:00"/>
    <x v="229"/>
    <x v="3"/>
    <x v="0"/>
  </r>
  <r>
    <n v="7756"/>
    <d v="2012-02-11T00:00:00"/>
    <x v="0"/>
    <x v="0"/>
    <x v="0"/>
  </r>
  <r>
    <n v="7765"/>
    <d v="2020-04-01T00:00:00"/>
    <x v="230"/>
    <x v="1"/>
    <x v="0"/>
  </r>
  <r>
    <n v="7770"/>
    <d v="2011-05-16T00:00:00"/>
    <x v="0"/>
    <x v="0"/>
    <x v="0"/>
  </r>
  <r>
    <n v="7772"/>
    <d v="2020-02-06T00:00:00"/>
    <x v="0"/>
    <x v="0"/>
    <x v="0"/>
  </r>
  <r>
    <n v="7783"/>
    <d v="2004-01-24T00:00:00"/>
    <x v="0"/>
    <x v="0"/>
    <x v="0"/>
  </r>
  <r>
    <n v="7794"/>
    <d v="2003-10-03T00:00:00"/>
    <x v="0"/>
    <x v="0"/>
    <x v="0"/>
  </r>
  <r>
    <n v="7797"/>
    <d v="2015-12-07T00:00:00"/>
    <x v="0"/>
    <x v="0"/>
    <x v="0"/>
  </r>
  <r>
    <n v="7804"/>
    <d v="2013-02-08T00:00:00"/>
    <x v="0"/>
    <x v="0"/>
    <x v="0"/>
  </r>
  <r>
    <n v="7811"/>
    <d v="2014-02-04T00:00:00"/>
    <x v="0"/>
    <x v="0"/>
    <x v="0"/>
  </r>
  <r>
    <n v="7813"/>
    <d v="2014-07-23T00:00:00"/>
    <x v="0"/>
    <x v="0"/>
    <x v="0"/>
  </r>
  <r>
    <n v="7819"/>
    <d v="2011-02-07T00:00:00"/>
    <x v="0"/>
    <x v="0"/>
    <x v="0"/>
  </r>
  <r>
    <n v="7827"/>
    <d v="2005-08-20T00:00:00"/>
    <x v="0"/>
    <x v="0"/>
    <x v="0"/>
  </r>
  <r>
    <n v="7829"/>
    <d v="2018-07-05T00:00:00"/>
    <x v="0"/>
    <x v="0"/>
    <x v="0"/>
  </r>
  <r>
    <n v="7839"/>
    <d v="2019-02-15T00:00:00"/>
    <x v="0"/>
    <x v="0"/>
    <x v="0"/>
  </r>
  <r>
    <n v="7840"/>
    <d v="2017-05-25T00:00:00"/>
    <x v="0"/>
    <x v="0"/>
    <x v="0"/>
  </r>
  <r>
    <n v="7841"/>
    <d v="2004-11-04T00:00:00"/>
    <x v="0"/>
    <x v="0"/>
    <x v="0"/>
  </r>
  <r>
    <n v="7844"/>
    <d v="2014-02-28T00:00:00"/>
    <x v="0"/>
    <x v="0"/>
    <x v="0"/>
  </r>
  <r>
    <n v="7851"/>
    <d v="2003-03-23T00:00:00"/>
    <x v="0"/>
    <x v="0"/>
    <x v="0"/>
  </r>
  <r>
    <n v="7869"/>
    <d v="2004-03-22T00:00:00"/>
    <x v="0"/>
    <x v="0"/>
    <x v="0"/>
  </r>
  <r>
    <n v="7870"/>
    <d v="2016-02-23T00:00:00"/>
    <x v="0"/>
    <x v="0"/>
    <x v="0"/>
  </r>
  <r>
    <n v="7878"/>
    <d v="2004-12-17T00:00:00"/>
    <x v="0"/>
    <x v="0"/>
    <x v="0"/>
  </r>
  <r>
    <n v="7881"/>
    <d v="2004-09-12T00:00:00"/>
    <x v="0"/>
    <x v="0"/>
    <x v="0"/>
  </r>
  <r>
    <n v="7894"/>
    <d v="2020-01-17T00:00:00"/>
    <x v="0"/>
    <x v="0"/>
    <x v="0"/>
  </r>
  <r>
    <n v="7895"/>
    <d v="2004-07-25T00:00:00"/>
    <x v="231"/>
    <x v="1"/>
    <x v="0"/>
  </r>
  <r>
    <n v="7903"/>
    <d v="2015-08-01T00:00:00"/>
    <x v="232"/>
    <x v="5"/>
    <x v="0"/>
  </r>
  <r>
    <n v="7910"/>
    <d v="2021-05-09T00:00:00"/>
    <x v="233"/>
    <x v="3"/>
    <x v="0"/>
  </r>
  <r>
    <n v="7920"/>
    <d v="2016-01-08T00:00:00"/>
    <x v="0"/>
    <x v="0"/>
    <x v="0"/>
  </r>
  <r>
    <n v="7924"/>
    <d v="2019-10-29T00:00:00"/>
    <x v="26"/>
    <x v="2"/>
    <x v="0"/>
  </r>
  <r>
    <n v="7925"/>
    <d v="2018-11-07T00:00:00"/>
    <x v="0"/>
    <x v="0"/>
    <x v="0"/>
  </r>
  <r>
    <n v="7928"/>
    <d v="2003-07-14T00:00:00"/>
    <x v="0"/>
    <x v="0"/>
    <x v="0"/>
  </r>
  <r>
    <n v="7930"/>
    <d v="2014-01-06T00:00:00"/>
    <x v="0"/>
    <x v="0"/>
    <x v="0"/>
  </r>
  <r>
    <n v="7937"/>
    <d v="2016-03-28T00:00:00"/>
    <x v="234"/>
    <x v="2"/>
    <x v="0"/>
  </r>
  <r>
    <n v="7939"/>
    <d v="2016-03-22T00:00:00"/>
    <x v="0"/>
    <x v="0"/>
    <x v="0"/>
  </r>
  <r>
    <n v="7943"/>
    <d v="2012-07-10T00:00:00"/>
    <x v="0"/>
    <x v="0"/>
    <x v="0"/>
  </r>
  <r>
    <n v="7944"/>
    <d v="2005-05-27T00:00:00"/>
    <x v="0"/>
    <x v="0"/>
    <x v="0"/>
  </r>
  <r>
    <n v="7955"/>
    <d v="2006-02-26T00:00:00"/>
    <x v="0"/>
    <x v="0"/>
    <x v="0"/>
  </r>
  <r>
    <n v="7962"/>
    <d v="2017-01-10T00:00:00"/>
    <x v="0"/>
    <x v="0"/>
    <x v="0"/>
  </r>
  <r>
    <n v="7963"/>
    <d v="2014-09-08T00:00:00"/>
    <x v="235"/>
    <x v="3"/>
    <x v="0"/>
  </r>
  <r>
    <n v="7965"/>
    <d v="2007-02-28T00:00:00"/>
    <x v="236"/>
    <x v="1"/>
    <x v="0"/>
  </r>
  <r>
    <n v="7966"/>
    <d v="2011-06-27T00:00:00"/>
    <x v="0"/>
    <x v="0"/>
    <x v="0"/>
  </r>
  <r>
    <n v="7968"/>
    <d v="2008-05-31T00:00:00"/>
    <x v="0"/>
    <x v="0"/>
    <x v="0"/>
  </r>
  <r>
    <n v="7970"/>
    <d v="2005-06-24T00:00:00"/>
    <x v="0"/>
    <x v="0"/>
    <x v="0"/>
  </r>
  <r>
    <n v="7987"/>
    <d v="2004-07-23T00:00:00"/>
    <x v="0"/>
    <x v="0"/>
    <x v="0"/>
  </r>
  <r>
    <n v="7998"/>
    <d v="2008-10-16T00:00:00"/>
    <x v="0"/>
    <x v="0"/>
    <x v="0"/>
  </r>
  <r>
    <n v="8001"/>
    <d v="2017-11-08T00:00:00"/>
    <x v="0"/>
    <x v="0"/>
    <x v="0"/>
  </r>
  <r>
    <n v="8007"/>
    <d v="2003-03-14T00:00:00"/>
    <x v="237"/>
    <x v="2"/>
    <x v="0"/>
  </r>
  <r>
    <n v="8012"/>
    <d v="2017-11-29T00:00:00"/>
    <x v="0"/>
    <x v="0"/>
    <x v="0"/>
  </r>
  <r>
    <n v="8020"/>
    <d v="2017-05-28T00:00:00"/>
    <x v="0"/>
    <x v="0"/>
    <x v="0"/>
  </r>
  <r>
    <n v="8023"/>
    <d v="2004-04-01T00:00:00"/>
    <x v="0"/>
    <x v="0"/>
    <x v="0"/>
  </r>
  <r>
    <n v="8024"/>
    <d v="2003-08-10T00:00:00"/>
    <x v="0"/>
    <x v="0"/>
    <x v="0"/>
  </r>
  <r>
    <n v="8029"/>
    <d v="2011-04-19T00:00:00"/>
    <x v="0"/>
    <x v="0"/>
    <x v="0"/>
  </r>
  <r>
    <n v="8031"/>
    <d v="2010-01-21T00:00:00"/>
    <x v="0"/>
    <x v="0"/>
    <x v="0"/>
  </r>
  <r>
    <n v="8039"/>
    <d v="2005-12-05T00:00:00"/>
    <x v="0"/>
    <x v="0"/>
    <x v="0"/>
  </r>
  <r>
    <n v="8050"/>
    <d v="2012-08-27T00:00:00"/>
    <x v="0"/>
    <x v="0"/>
    <x v="0"/>
  </r>
  <r>
    <n v="8055"/>
    <d v="2004-04-02T00:00:00"/>
    <x v="238"/>
    <x v="4"/>
    <x v="0"/>
  </r>
  <r>
    <n v="8060"/>
    <d v="2004-05-10T00:00:00"/>
    <x v="0"/>
    <x v="0"/>
    <x v="0"/>
  </r>
  <r>
    <n v="8066"/>
    <d v="2016-12-20T00:00:00"/>
    <x v="0"/>
    <x v="0"/>
    <x v="0"/>
  </r>
  <r>
    <n v="8096"/>
    <d v="2019-08-18T00:00:00"/>
    <x v="239"/>
    <x v="5"/>
    <x v="0"/>
  </r>
  <r>
    <n v="8111"/>
    <d v="2009-07-28T00:00:00"/>
    <x v="240"/>
    <x v="2"/>
    <x v="0"/>
  </r>
  <r>
    <n v="8112"/>
    <d v="2010-09-25T00:00:00"/>
    <x v="0"/>
    <x v="0"/>
    <x v="0"/>
  </r>
  <r>
    <n v="8120"/>
    <d v="2009-06-17T00:00:00"/>
    <x v="0"/>
    <x v="0"/>
    <x v="0"/>
  </r>
  <r>
    <n v="8123"/>
    <d v="2003-12-22T00:00:00"/>
    <x v="0"/>
    <x v="0"/>
    <x v="0"/>
  </r>
  <r>
    <n v="8124"/>
    <d v="2020-03-01T00:00:00"/>
    <x v="0"/>
    <x v="0"/>
    <x v="0"/>
  </r>
  <r>
    <n v="8129"/>
    <d v="2020-09-28T00:00:00"/>
    <x v="112"/>
    <x v="2"/>
    <x v="0"/>
  </r>
  <r>
    <n v="8131"/>
    <d v="2014-12-28T00:00:00"/>
    <x v="0"/>
    <x v="0"/>
    <x v="0"/>
  </r>
  <r>
    <n v="8133"/>
    <d v="2020-02-02T00:00:00"/>
    <x v="0"/>
    <x v="0"/>
    <x v="0"/>
  </r>
  <r>
    <n v="8138"/>
    <d v="2005-03-08T00:00:00"/>
    <x v="241"/>
    <x v="2"/>
    <x v="0"/>
  </r>
  <r>
    <n v="8139"/>
    <d v="2015-08-05T00:00:00"/>
    <x v="0"/>
    <x v="0"/>
    <x v="0"/>
  </r>
  <r>
    <n v="8142"/>
    <d v="2012-09-11T00:00:00"/>
    <x v="0"/>
    <x v="0"/>
    <x v="0"/>
  </r>
  <r>
    <n v="8147"/>
    <d v="2009-11-01T00:00:00"/>
    <x v="242"/>
    <x v="2"/>
    <x v="0"/>
  </r>
  <r>
    <n v="8158"/>
    <d v="2002-07-11T00:00:00"/>
    <x v="0"/>
    <x v="0"/>
    <x v="0"/>
  </r>
  <r>
    <n v="8173"/>
    <d v="2017-05-05T00:00:00"/>
    <x v="0"/>
    <x v="0"/>
    <x v="0"/>
  </r>
  <r>
    <n v="8175"/>
    <d v="2009-02-08T00:00:00"/>
    <x v="0"/>
    <x v="0"/>
    <x v="0"/>
  </r>
  <r>
    <n v="8188"/>
    <d v="2018-03-16T00:00:00"/>
    <x v="0"/>
    <x v="0"/>
    <x v="0"/>
  </r>
  <r>
    <n v="8190"/>
    <d v="2015-10-06T00:00:00"/>
    <x v="0"/>
    <x v="0"/>
    <x v="0"/>
  </r>
  <r>
    <n v="8201"/>
    <d v="2010-03-13T00:00:00"/>
    <x v="243"/>
    <x v="5"/>
    <x v="0"/>
  </r>
  <r>
    <n v="8204"/>
    <d v="2012-05-15T00:00:00"/>
    <x v="0"/>
    <x v="0"/>
    <x v="0"/>
  </r>
  <r>
    <n v="8206"/>
    <d v="2006-12-01T00:00:00"/>
    <x v="0"/>
    <x v="0"/>
    <x v="0"/>
  </r>
  <r>
    <n v="8223"/>
    <d v="2014-09-18T00:00:00"/>
    <x v="244"/>
    <x v="1"/>
    <x v="1"/>
  </r>
  <r>
    <n v="8229"/>
    <d v="2009-07-08T00:00:00"/>
    <x v="0"/>
    <x v="0"/>
    <x v="0"/>
  </r>
  <r>
    <n v="8238"/>
    <d v="2003-11-07T00:00:00"/>
    <x v="0"/>
    <x v="0"/>
    <x v="0"/>
  </r>
  <r>
    <n v="8242"/>
    <d v="2014-01-08T00:00:00"/>
    <x v="0"/>
    <x v="0"/>
    <x v="0"/>
  </r>
  <r>
    <n v="8247"/>
    <d v="2009-11-26T00:00:00"/>
    <x v="0"/>
    <x v="0"/>
    <x v="0"/>
  </r>
  <r>
    <n v="8252"/>
    <d v="2018-05-17T00:00:00"/>
    <x v="0"/>
    <x v="0"/>
    <x v="0"/>
  </r>
  <r>
    <n v="8263"/>
    <d v="2010-01-24T00:00:00"/>
    <x v="0"/>
    <x v="0"/>
    <x v="0"/>
  </r>
  <r>
    <n v="8269"/>
    <d v="2005-01-27T00:00:00"/>
    <x v="0"/>
    <x v="0"/>
    <x v="0"/>
  </r>
  <r>
    <n v="8270"/>
    <d v="2014-07-20T00:00:00"/>
    <x v="0"/>
    <x v="0"/>
    <x v="0"/>
  </r>
  <r>
    <n v="8271"/>
    <d v="2017-12-31T00:00:00"/>
    <x v="245"/>
    <x v="4"/>
    <x v="0"/>
  </r>
  <r>
    <n v="8282"/>
    <d v="2019-05-22T00:00:00"/>
    <x v="0"/>
    <x v="0"/>
    <x v="0"/>
  </r>
  <r>
    <n v="8286"/>
    <d v="2008-05-03T00:00:00"/>
    <x v="246"/>
    <x v="4"/>
    <x v="0"/>
  </r>
  <r>
    <n v="8290"/>
    <d v="2009-01-23T00:00:00"/>
    <x v="0"/>
    <x v="0"/>
    <x v="0"/>
  </r>
  <r>
    <n v="8296"/>
    <d v="2021-10-09T00:00:00"/>
    <x v="247"/>
    <x v="5"/>
    <x v="1"/>
  </r>
  <r>
    <n v="8304"/>
    <d v="2007-10-17T00:00:00"/>
    <x v="0"/>
    <x v="0"/>
    <x v="0"/>
  </r>
  <r>
    <n v="8312"/>
    <d v="2008-02-02T00:00:00"/>
    <x v="0"/>
    <x v="0"/>
    <x v="0"/>
  </r>
  <r>
    <n v="8316"/>
    <d v="2019-05-23T00:00:00"/>
    <x v="248"/>
    <x v="4"/>
    <x v="0"/>
  </r>
  <r>
    <n v="8327"/>
    <d v="2017-10-18T00:00:00"/>
    <x v="0"/>
    <x v="0"/>
    <x v="0"/>
  </r>
  <r>
    <n v="8331"/>
    <d v="2010-12-22T00:00:00"/>
    <x v="0"/>
    <x v="0"/>
    <x v="0"/>
  </r>
  <r>
    <n v="8334"/>
    <d v="2018-12-18T00:00:00"/>
    <x v="0"/>
    <x v="0"/>
    <x v="0"/>
  </r>
  <r>
    <n v="8337"/>
    <d v="2010-01-24T00:00:00"/>
    <x v="0"/>
    <x v="0"/>
    <x v="0"/>
  </r>
  <r>
    <n v="8349"/>
    <d v="2011-08-18T00:00:00"/>
    <x v="0"/>
    <x v="0"/>
    <x v="0"/>
  </r>
  <r>
    <n v="8365"/>
    <d v="2003-09-02T00:00:00"/>
    <x v="0"/>
    <x v="0"/>
    <x v="0"/>
  </r>
  <r>
    <n v="8369"/>
    <d v="2010-04-17T00:00:00"/>
    <x v="249"/>
    <x v="1"/>
    <x v="0"/>
  </r>
  <r>
    <n v="8373"/>
    <d v="2018-06-24T00:00:00"/>
    <x v="0"/>
    <x v="0"/>
    <x v="0"/>
  </r>
  <r>
    <n v="8378"/>
    <d v="2007-11-05T00:00:00"/>
    <x v="0"/>
    <x v="0"/>
    <x v="0"/>
  </r>
  <r>
    <n v="8389"/>
    <d v="2004-12-03T00:00:00"/>
    <x v="0"/>
    <x v="0"/>
    <x v="0"/>
  </r>
  <r>
    <n v="8397"/>
    <d v="2005-10-29T00:00:00"/>
    <x v="0"/>
    <x v="0"/>
    <x v="0"/>
  </r>
  <r>
    <n v="8403"/>
    <d v="2016-03-21T00:00:00"/>
    <x v="0"/>
    <x v="0"/>
    <x v="0"/>
  </r>
  <r>
    <n v="8405"/>
    <d v="2004-04-21T00:00:00"/>
    <x v="0"/>
    <x v="0"/>
    <x v="0"/>
  </r>
  <r>
    <n v="8410"/>
    <d v="2016-03-27T00:00:00"/>
    <x v="0"/>
    <x v="0"/>
    <x v="0"/>
  </r>
  <r>
    <n v="8417"/>
    <d v="2020-08-28T00:00:00"/>
    <x v="0"/>
    <x v="0"/>
    <x v="0"/>
  </r>
  <r>
    <n v="8421"/>
    <d v="2007-10-16T00:00:00"/>
    <x v="0"/>
    <x v="0"/>
    <x v="0"/>
  </r>
  <r>
    <n v="8423"/>
    <d v="2004-05-19T00:00:00"/>
    <x v="250"/>
    <x v="1"/>
    <x v="0"/>
  </r>
  <r>
    <n v="8428"/>
    <d v="2005-11-18T00:00:00"/>
    <x v="0"/>
    <x v="0"/>
    <x v="0"/>
  </r>
  <r>
    <n v="8436"/>
    <d v="2016-05-22T00:00:00"/>
    <x v="0"/>
    <x v="0"/>
    <x v="0"/>
  </r>
  <r>
    <n v="8437"/>
    <d v="2008-05-14T00:00:00"/>
    <x v="0"/>
    <x v="0"/>
    <x v="0"/>
  </r>
  <r>
    <n v="8446"/>
    <d v="2011-02-02T00:00:00"/>
    <x v="251"/>
    <x v="2"/>
    <x v="0"/>
  </r>
  <r>
    <n v="8449"/>
    <d v="2012-06-25T00:00:00"/>
    <x v="0"/>
    <x v="0"/>
    <x v="0"/>
  </r>
  <r>
    <n v="8451"/>
    <d v="2013-05-31T00:00:00"/>
    <x v="0"/>
    <x v="0"/>
    <x v="0"/>
  </r>
  <r>
    <n v="8455"/>
    <d v="2015-06-11T00:00:00"/>
    <x v="0"/>
    <x v="0"/>
    <x v="0"/>
  </r>
  <r>
    <n v="8476"/>
    <d v="2009-10-30T00:00:00"/>
    <x v="0"/>
    <x v="0"/>
    <x v="0"/>
  </r>
  <r>
    <n v="8477"/>
    <d v="2010-04-14T00:00:00"/>
    <x v="0"/>
    <x v="0"/>
    <x v="0"/>
  </r>
  <r>
    <n v="8483"/>
    <d v="2011-03-28T00:00:00"/>
    <x v="0"/>
    <x v="0"/>
    <x v="0"/>
  </r>
  <r>
    <n v="8486"/>
    <d v="2012-03-31T00:00:00"/>
    <x v="252"/>
    <x v="5"/>
    <x v="0"/>
  </r>
  <r>
    <n v="8494"/>
    <d v="2017-04-11T00:00:00"/>
    <x v="0"/>
    <x v="0"/>
    <x v="0"/>
  </r>
  <r>
    <n v="8500"/>
    <d v="2015-10-09T00:00:00"/>
    <x v="0"/>
    <x v="0"/>
    <x v="0"/>
  </r>
  <r>
    <n v="8501"/>
    <d v="2018-02-25T00:00:00"/>
    <x v="0"/>
    <x v="0"/>
    <x v="0"/>
  </r>
  <r>
    <n v="8505"/>
    <d v="2004-09-09T00:00:00"/>
    <x v="0"/>
    <x v="0"/>
    <x v="0"/>
  </r>
  <r>
    <n v="8509"/>
    <d v="2015-12-10T00:00:00"/>
    <x v="0"/>
    <x v="0"/>
    <x v="0"/>
  </r>
  <r>
    <n v="8513"/>
    <d v="2011-02-24T00:00:00"/>
    <x v="0"/>
    <x v="0"/>
    <x v="0"/>
  </r>
  <r>
    <n v="8514"/>
    <d v="2006-10-14T00:00:00"/>
    <x v="0"/>
    <x v="0"/>
    <x v="0"/>
  </r>
  <r>
    <n v="8517"/>
    <d v="2005-10-15T00:00:00"/>
    <x v="253"/>
    <x v="1"/>
    <x v="0"/>
  </r>
  <r>
    <n v="8518"/>
    <d v="2016-09-19T00:00:00"/>
    <x v="0"/>
    <x v="0"/>
    <x v="0"/>
  </r>
  <r>
    <n v="8523"/>
    <d v="2015-11-05T00:00:00"/>
    <x v="0"/>
    <x v="0"/>
    <x v="0"/>
  </r>
  <r>
    <n v="8524"/>
    <d v="2006-03-28T00:00:00"/>
    <x v="254"/>
    <x v="2"/>
    <x v="0"/>
  </r>
  <r>
    <n v="8527"/>
    <d v="2007-02-06T00:00:00"/>
    <x v="0"/>
    <x v="0"/>
    <x v="0"/>
  </r>
  <r>
    <n v="8547"/>
    <d v="2004-01-10T00:00:00"/>
    <x v="145"/>
    <x v="4"/>
    <x v="0"/>
  </r>
  <r>
    <n v="8556"/>
    <d v="2006-09-16T00:00:00"/>
    <x v="255"/>
    <x v="1"/>
    <x v="0"/>
  </r>
  <r>
    <n v="8561"/>
    <d v="2019-09-19T00:00:00"/>
    <x v="0"/>
    <x v="0"/>
    <x v="0"/>
  </r>
  <r>
    <n v="8564"/>
    <d v="2017-08-04T00:00:00"/>
    <x v="256"/>
    <x v="2"/>
    <x v="0"/>
  </r>
  <r>
    <n v="8565"/>
    <d v="2005-05-01T00:00:00"/>
    <x v="0"/>
    <x v="0"/>
    <x v="0"/>
  </r>
  <r>
    <n v="8566"/>
    <d v="2011-04-18T00:00:00"/>
    <x v="0"/>
    <x v="0"/>
    <x v="0"/>
  </r>
  <r>
    <n v="8567"/>
    <d v="2012-03-09T00:00:00"/>
    <x v="0"/>
    <x v="0"/>
    <x v="0"/>
  </r>
  <r>
    <n v="8572"/>
    <d v="2003-05-06T00:00:00"/>
    <x v="257"/>
    <x v="5"/>
    <x v="0"/>
  </r>
  <r>
    <n v="8574"/>
    <d v="2002-04-03T00:00:00"/>
    <x v="0"/>
    <x v="0"/>
    <x v="0"/>
  </r>
  <r>
    <n v="8575"/>
    <d v="2015-04-26T00:00:00"/>
    <x v="0"/>
    <x v="0"/>
    <x v="0"/>
  </r>
  <r>
    <n v="8580"/>
    <d v="2003-11-05T00:00:00"/>
    <x v="0"/>
    <x v="0"/>
    <x v="0"/>
  </r>
  <r>
    <n v="8600"/>
    <d v="2006-05-28T00:00:00"/>
    <x v="10"/>
    <x v="8"/>
    <x v="0"/>
  </r>
  <r>
    <n v="8615"/>
    <d v="2014-06-18T00:00:00"/>
    <x v="0"/>
    <x v="0"/>
    <x v="0"/>
  </r>
  <r>
    <n v="8625"/>
    <d v="2004-01-21T00:00:00"/>
    <x v="0"/>
    <x v="0"/>
    <x v="0"/>
  </r>
  <r>
    <n v="8641"/>
    <d v="2017-07-03T00:00:00"/>
    <x v="258"/>
    <x v="2"/>
    <x v="0"/>
  </r>
  <r>
    <n v="8642"/>
    <d v="2007-09-05T00:00:00"/>
    <x v="0"/>
    <x v="0"/>
    <x v="0"/>
  </r>
  <r>
    <n v="8645"/>
    <d v="2004-09-04T00:00:00"/>
    <x v="0"/>
    <x v="0"/>
    <x v="0"/>
  </r>
  <r>
    <n v="8648"/>
    <d v="2019-01-27T00:00:00"/>
    <x v="0"/>
    <x v="0"/>
    <x v="0"/>
  </r>
  <r>
    <n v="8650"/>
    <d v="2004-03-03T00:00:00"/>
    <x v="259"/>
    <x v="2"/>
    <x v="0"/>
  </r>
  <r>
    <n v="8670"/>
    <d v="2018-12-13T00:00:00"/>
    <x v="0"/>
    <x v="0"/>
    <x v="0"/>
  </r>
  <r>
    <n v="8671"/>
    <d v="2014-07-31T00:00:00"/>
    <x v="260"/>
    <x v="2"/>
    <x v="0"/>
  </r>
  <r>
    <n v="8674"/>
    <d v="2005-05-09T00:00:00"/>
    <x v="261"/>
    <x v="7"/>
    <x v="0"/>
  </r>
  <r>
    <n v="8678"/>
    <d v="2017-01-21T00:00:00"/>
    <x v="0"/>
    <x v="0"/>
    <x v="0"/>
  </r>
  <r>
    <n v="8684"/>
    <d v="2018-01-16T00:00:00"/>
    <x v="0"/>
    <x v="0"/>
    <x v="0"/>
  </r>
  <r>
    <n v="8685"/>
    <d v="2007-02-03T00:00:00"/>
    <x v="0"/>
    <x v="0"/>
    <x v="0"/>
  </r>
  <r>
    <n v="8706"/>
    <d v="2003-06-14T00:00:00"/>
    <x v="0"/>
    <x v="0"/>
    <x v="0"/>
  </r>
  <r>
    <n v="8707"/>
    <d v="2002-08-23T00:00:00"/>
    <x v="0"/>
    <x v="0"/>
    <x v="0"/>
  </r>
  <r>
    <n v="8712"/>
    <d v="2007-04-08T00:00:00"/>
    <x v="0"/>
    <x v="0"/>
    <x v="0"/>
  </r>
  <r>
    <n v="8716"/>
    <d v="2019-05-05T00:00:00"/>
    <x v="0"/>
    <x v="0"/>
    <x v="0"/>
  </r>
  <r>
    <n v="8727"/>
    <d v="2011-12-21T00:00:00"/>
    <x v="0"/>
    <x v="0"/>
    <x v="0"/>
  </r>
  <r>
    <n v="8741"/>
    <d v="2018-09-21T00:00:00"/>
    <x v="0"/>
    <x v="0"/>
    <x v="0"/>
  </r>
  <r>
    <n v="8745"/>
    <d v="2004-02-14T00:00:00"/>
    <x v="0"/>
    <x v="0"/>
    <x v="0"/>
  </r>
  <r>
    <n v="8754"/>
    <d v="2002-07-20T00:00:00"/>
    <x v="0"/>
    <x v="0"/>
    <x v="0"/>
  </r>
  <r>
    <n v="8772"/>
    <d v="2007-10-05T00:00:00"/>
    <x v="262"/>
    <x v="4"/>
    <x v="0"/>
  </r>
  <r>
    <n v="8780"/>
    <d v="2009-02-17T00:00:00"/>
    <x v="0"/>
    <x v="0"/>
    <x v="0"/>
  </r>
  <r>
    <n v="8784"/>
    <d v="2012-09-06T00:00:00"/>
    <x v="0"/>
    <x v="0"/>
    <x v="0"/>
  </r>
  <r>
    <n v="8790"/>
    <d v="2017-01-11T00:00:00"/>
    <x v="0"/>
    <x v="0"/>
    <x v="0"/>
  </r>
  <r>
    <n v="8792"/>
    <d v="2005-01-21T00:00:00"/>
    <x v="263"/>
    <x v="5"/>
    <x v="0"/>
  </r>
  <r>
    <n v="8796"/>
    <d v="2020-10-11T00:00:00"/>
    <x v="0"/>
    <x v="0"/>
    <x v="0"/>
  </r>
  <r>
    <n v="8799"/>
    <d v="2014-09-14T00:00:00"/>
    <x v="0"/>
    <x v="0"/>
    <x v="0"/>
  </r>
  <r>
    <n v="8812"/>
    <d v="2017-02-26T00:00:00"/>
    <x v="264"/>
    <x v="2"/>
    <x v="0"/>
  </r>
  <r>
    <n v="8816"/>
    <d v="2008-03-05T00:00:00"/>
    <x v="0"/>
    <x v="0"/>
    <x v="0"/>
  </r>
  <r>
    <n v="8831"/>
    <d v="2004-01-05T00:00:00"/>
    <x v="0"/>
    <x v="0"/>
    <x v="0"/>
  </r>
  <r>
    <n v="8834"/>
    <d v="2013-04-10T00:00:00"/>
    <x v="0"/>
    <x v="0"/>
    <x v="0"/>
  </r>
  <r>
    <n v="8842"/>
    <d v="2003-03-17T00:00:00"/>
    <x v="0"/>
    <x v="0"/>
    <x v="0"/>
  </r>
  <r>
    <n v="8849"/>
    <d v="2018-09-27T00:00:00"/>
    <x v="265"/>
    <x v="1"/>
    <x v="0"/>
  </r>
  <r>
    <n v="8852"/>
    <d v="2011-01-10T00:00:00"/>
    <x v="0"/>
    <x v="0"/>
    <x v="0"/>
  </r>
  <r>
    <n v="8853"/>
    <d v="2018-08-24T00:00:00"/>
    <x v="266"/>
    <x v="2"/>
    <x v="1"/>
  </r>
  <r>
    <n v="8864"/>
    <d v="2013-07-15T00:00:00"/>
    <x v="0"/>
    <x v="0"/>
    <x v="0"/>
  </r>
  <r>
    <n v="8877"/>
    <d v="2012-05-15T00:00:00"/>
    <x v="0"/>
    <x v="0"/>
    <x v="0"/>
  </r>
  <r>
    <n v="8878"/>
    <d v="2005-06-02T00:00:00"/>
    <x v="0"/>
    <x v="0"/>
    <x v="0"/>
  </r>
  <r>
    <n v="8882"/>
    <d v="2008-05-22T00:00:00"/>
    <x v="0"/>
    <x v="0"/>
    <x v="0"/>
  </r>
  <r>
    <n v="8883"/>
    <d v="2002-09-05T00:00:00"/>
    <x v="0"/>
    <x v="0"/>
    <x v="0"/>
  </r>
  <r>
    <n v="8891"/>
    <d v="2007-07-23T00:00:00"/>
    <x v="0"/>
    <x v="0"/>
    <x v="0"/>
  </r>
  <r>
    <n v="8902"/>
    <d v="2013-01-31T00:00:00"/>
    <x v="0"/>
    <x v="0"/>
    <x v="0"/>
  </r>
  <r>
    <n v="8903"/>
    <d v="2002-06-06T00:00:00"/>
    <x v="0"/>
    <x v="0"/>
    <x v="0"/>
  </r>
  <r>
    <n v="8904"/>
    <d v="2016-05-07T00:00:00"/>
    <x v="0"/>
    <x v="0"/>
    <x v="0"/>
  </r>
  <r>
    <n v="8905"/>
    <d v="2014-01-07T00:00:00"/>
    <x v="0"/>
    <x v="0"/>
    <x v="0"/>
  </r>
  <r>
    <n v="8907"/>
    <d v="2015-06-16T00:00:00"/>
    <x v="0"/>
    <x v="0"/>
    <x v="0"/>
  </r>
  <r>
    <n v="8917"/>
    <d v="2005-06-19T00:00:00"/>
    <x v="0"/>
    <x v="0"/>
    <x v="0"/>
  </r>
  <r>
    <n v="8934"/>
    <d v="2005-07-05T00:00:00"/>
    <x v="0"/>
    <x v="0"/>
    <x v="0"/>
  </r>
  <r>
    <n v="8960"/>
    <d v="2019-06-27T00:00:00"/>
    <x v="0"/>
    <x v="0"/>
    <x v="0"/>
  </r>
  <r>
    <n v="8966"/>
    <d v="2015-04-14T00:00:00"/>
    <x v="267"/>
    <x v="5"/>
    <x v="0"/>
  </r>
  <r>
    <n v="8973"/>
    <d v="2017-06-25T00:00:00"/>
    <x v="0"/>
    <x v="0"/>
    <x v="0"/>
  </r>
  <r>
    <n v="8974"/>
    <d v="2005-05-09T00:00:00"/>
    <x v="0"/>
    <x v="0"/>
    <x v="0"/>
  </r>
  <r>
    <n v="8979"/>
    <d v="2004-10-07T00:00:00"/>
    <x v="0"/>
    <x v="0"/>
    <x v="0"/>
  </r>
  <r>
    <n v="8996"/>
    <d v="2011-06-02T00:00:00"/>
    <x v="268"/>
    <x v="6"/>
    <x v="0"/>
  </r>
  <r>
    <n v="9001"/>
    <d v="2021-08-22T00:00:00"/>
    <x v="269"/>
    <x v="8"/>
    <x v="1"/>
  </r>
  <r>
    <n v="9003"/>
    <d v="2017-11-28T00:00:00"/>
    <x v="0"/>
    <x v="0"/>
    <x v="0"/>
  </r>
  <r>
    <n v="9010"/>
    <d v="2013-01-23T00:00:00"/>
    <x v="0"/>
    <x v="0"/>
    <x v="0"/>
  </r>
  <r>
    <n v="9011"/>
    <d v="2004-09-30T00:00:00"/>
    <x v="0"/>
    <x v="0"/>
    <x v="0"/>
  </r>
  <r>
    <n v="9014"/>
    <d v="2012-06-23T00:00:00"/>
    <x v="0"/>
    <x v="0"/>
    <x v="0"/>
  </r>
  <r>
    <n v="9021"/>
    <d v="2018-05-13T00:00:00"/>
    <x v="0"/>
    <x v="0"/>
    <x v="0"/>
  </r>
  <r>
    <n v="9027"/>
    <d v="2013-06-01T00:00:00"/>
    <x v="0"/>
    <x v="0"/>
    <x v="0"/>
  </r>
  <r>
    <n v="9036"/>
    <d v="2020-09-04T00:00:00"/>
    <x v="0"/>
    <x v="0"/>
    <x v="0"/>
  </r>
  <r>
    <n v="9044"/>
    <d v="2018-10-13T00:00:00"/>
    <x v="270"/>
    <x v="3"/>
    <x v="0"/>
  </r>
  <r>
    <n v="9048"/>
    <d v="2007-09-09T00:00:00"/>
    <x v="0"/>
    <x v="0"/>
    <x v="0"/>
  </r>
  <r>
    <n v="9059"/>
    <d v="2015-08-26T00:00:00"/>
    <x v="200"/>
    <x v="2"/>
    <x v="0"/>
  </r>
  <r>
    <n v="9063"/>
    <d v="2006-05-17T00:00:00"/>
    <x v="271"/>
    <x v="2"/>
    <x v="0"/>
  </r>
  <r>
    <n v="9069"/>
    <d v="2017-05-17T00:00:00"/>
    <x v="0"/>
    <x v="0"/>
    <x v="0"/>
  </r>
  <r>
    <n v="9075"/>
    <d v="2009-07-25T00:00:00"/>
    <x v="0"/>
    <x v="0"/>
    <x v="0"/>
  </r>
  <r>
    <n v="9082"/>
    <d v="2006-01-28T00:00:00"/>
    <x v="0"/>
    <x v="0"/>
    <x v="0"/>
  </r>
  <r>
    <n v="9087"/>
    <d v="2011-04-18T00:00:00"/>
    <x v="0"/>
    <x v="0"/>
    <x v="0"/>
  </r>
  <r>
    <n v="9091"/>
    <d v="2016-05-13T00:00:00"/>
    <x v="0"/>
    <x v="0"/>
    <x v="0"/>
  </r>
  <r>
    <n v="9095"/>
    <d v="2019-10-04T00:00:00"/>
    <x v="0"/>
    <x v="0"/>
    <x v="0"/>
  </r>
  <r>
    <n v="9100"/>
    <d v="2019-10-01T00:00:00"/>
    <x v="272"/>
    <x v="1"/>
    <x v="1"/>
  </r>
  <r>
    <n v="9103"/>
    <d v="2020-10-01T00:00:00"/>
    <x v="0"/>
    <x v="0"/>
    <x v="0"/>
  </r>
  <r>
    <n v="9116"/>
    <d v="2008-01-24T00:00:00"/>
    <x v="0"/>
    <x v="0"/>
    <x v="0"/>
  </r>
  <r>
    <n v="9117"/>
    <d v="2011-07-22T00:00:00"/>
    <x v="0"/>
    <x v="0"/>
    <x v="0"/>
  </r>
  <r>
    <n v="9123"/>
    <d v="2018-10-01T00:00:00"/>
    <x v="0"/>
    <x v="0"/>
    <x v="0"/>
  </r>
  <r>
    <n v="9127"/>
    <d v="2009-06-02T00:00:00"/>
    <x v="0"/>
    <x v="0"/>
    <x v="0"/>
  </r>
  <r>
    <n v="9129"/>
    <d v="2005-03-01T00:00:00"/>
    <x v="0"/>
    <x v="0"/>
    <x v="0"/>
  </r>
  <r>
    <n v="9133"/>
    <d v="2007-04-13T00:00:00"/>
    <x v="0"/>
    <x v="0"/>
    <x v="0"/>
  </r>
  <r>
    <n v="9134"/>
    <d v="2015-05-10T00:00:00"/>
    <x v="0"/>
    <x v="0"/>
    <x v="0"/>
  </r>
  <r>
    <n v="9139"/>
    <d v="2017-06-20T00:00:00"/>
    <x v="273"/>
    <x v="1"/>
    <x v="0"/>
  </r>
  <r>
    <n v="9146"/>
    <d v="2006-10-24T00:00:00"/>
    <x v="274"/>
    <x v="1"/>
    <x v="0"/>
  </r>
  <r>
    <n v="9147"/>
    <d v="2007-01-13T00:00:00"/>
    <x v="0"/>
    <x v="0"/>
    <x v="0"/>
  </r>
  <r>
    <n v="9151"/>
    <d v="2012-04-22T00:00:00"/>
    <x v="0"/>
    <x v="0"/>
    <x v="0"/>
  </r>
  <r>
    <n v="9159"/>
    <d v="2013-11-02T00:00:00"/>
    <x v="275"/>
    <x v="6"/>
    <x v="0"/>
  </r>
  <r>
    <n v="9178"/>
    <d v="2019-04-26T00:00:00"/>
    <x v="0"/>
    <x v="0"/>
    <x v="0"/>
  </r>
  <r>
    <n v="9179"/>
    <d v="2012-06-12T00:00:00"/>
    <x v="0"/>
    <x v="0"/>
    <x v="0"/>
  </r>
  <r>
    <n v="9180"/>
    <d v="2004-11-16T00:00:00"/>
    <x v="276"/>
    <x v="6"/>
    <x v="0"/>
  </r>
  <r>
    <n v="9182"/>
    <d v="2016-03-11T00:00:00"/>
    <x v="0"/>
    <x v="0"/>
    <x v="0"/>
  </r>
  <r>
    <n v="9183"/>
    <d v="2008-07-22T00:00:00"/>
    <x v="0"/>
    <x v="0"/>
    <x v="0"/>
  </r>
  <r>
    <n v="9202"/>
    <d v="2007-01-05T00:00:00"/>
    <x v="0"/>
    <x v="0"/>
    <x v="0"/>
  </r>
  <r>
    <n v="9212"/>
    <d v="2002-07-09T00:00:00"/>
    <x v="0"/>
    <x v="0"/>
    <x v="0"/>
  </r>
  <r>
    <n v="9216"/>
    <d v="2020-12-27T00:00:00"/>
    <x v="0"/>
    <x v="0"/>
    <x v="0"/>
  </r>
  <r>
    <n v="9223"/>
    <d v="2017-07-22T00:00:00"/>
    <x v="0"/>
    <x v="0"/>
    <x v="0"/>
  </r>
  <r>
    <n v="9226"/>
    <d v="2004-06-07T00:00:00"/>
    <x v="0"/>
    <x v="0"/>
    <x v="0"/>
  </r>
  <r>
    <n v="9245"/>
    <d v="2015-05-30T00:00:00"/>
    <x v="277"/>
    <x v="2"/>
    <x v="0"/>
  </r>
  <r>
    <n v="9265"/>
    <d v="2002-01-14T00:00:00"/>
    <x v="0"/>
    <x v="0"/>
    <x v="0"/>
  </r>
  <r>
    <n v="9274"/>
    <d v="2003-06-20T00:00:00"/>
    <x v="0"/>
    <x v="0"/>
    <x v="0"/>
  </r>
  <r>
    <n v="9294"/>
    <d v="2009-04-25T00:00:00"/>
    <x v="0"/>
    <x v="0"/>
    <x v="0"/>
  </r>
  <r>
    <n v="9306"/>
    <d v="2013-07-25T00:00:00"/>
    <x v="0"/>
    <x v="0"/>
    <x v="0"/>
  </r>
  <r>
    <n v="9307"/>
    <d v="2018-05-20T00:00:00"/>
    <x v="0"/>
    <x v="0"/>
    <x v="0"/>
  </r>
  <r>
    <n v="9311"/>
    <d v="2005-05-23T00:00:00"/>
    <x v="0"/>
    <x v="0"/>
    <x v="0"/>
  </r>
  <r>
    <n v="9315"/>
    <d v="2017-11-15T00:00:00"/>
    <x v="0"/>
    <x v="0"/>
    <x v="0"/>
  </r>
  <r>
    <n v="9319"/>
    <d v="2017-07-22T00:00:00"/>
    <x v="0"/>
    <x v="0"/>
    <x v="0"/>
  </r>
  <r>
    <n v="9329"/>
    <d v="2014-08-14T00:00:00"/>
    <x v="0"/>
    <x v="0"/>
    <x v="0"/>
  </r>
  <r>
    <n v="9336"/>
    <d v="2018-12-03T00:00:00"/>
    <x v="278"/>
    <x v="2"/>
    <x v="0"/>
  </r>
  <r>
    <n v="9339"/>
    <d v="2012-10-10T00:00:00"/>
    <x v="279"/>
    <x v="2"/>
    <x v="0"/>
  </r>
  <r>
    <n v="9343"/>
    <d v="2018-01-20T00:00:00"/>
    <x v="280"/>
    <x v="1"/>
    <x v="0"/>
  </r>
  <r>
    <n v="9348"/>
    <d v="2009-09-08T00:00:00"/>
    <x v="0"/>
    <x v="0"/>
    <x v="0"/>
  </r>
  <r>
    <n v="9350"/>
    <d v="2005-04-20T00:00:00"/>
    <x v="0"/>
    <x v="0"/>
    <x v="0"/>
  </r>
  <r>
    <n v="9359"/>
    <d v="2008-07-03T00:00:00"/>
    <x v="0"/>
    <x v="0"/>
    <x v="0"/>
  </r>
  <r>
    <n v="9362"/>
    <d v="2005-07-04T00:00:00"/>
    <x v="0"/>
    <x v="0"/>
    <x v="0"/>
  </r>
  <r>
    <n v="9368"/>
    <d v="2020-10-03T00:00:00"/>
    <x v="0"/>
    <x v="0"/>
    <x v="0"/>
  </r>
  <r>
    <n v="9380"/>
    <d v="2018-07-17T00:00:00"/>
    <x v="0"/>
    <x v="0"/>
    <x v="0"/>
  </r>
  <r>
    <n v="9382"/>
    <d v="2007-06-17T00:00:00"/>
    <x v="0"/>
    <x v="0"/>
    <x v="0"/>
  </r>
  <r>
    <n v="9384"/>
    <d v="2017-05-01T00:00:00"/>
    <x v="0"/>
    <x v="0"/>
    <x v="0"/>
  </r>
  <r>
    <n v="9397"/>
    <d v="2003-08-23T00:00:00"/>
    <x v="0"/>
    <x v="0"/>
    <x v="0"/>
  </r>
  <r>
    <n v="9403"/>
    <d v="2007-12-02T00:00:00"/>
    <x v="281"/>
    <x v="7"/>
    <x v="0"/>
  </r>
  <r>
    <n v="9408"/>
    <d v="2008-08-27T00:00:00"/>
    <x v="0"/>
    <x v="0"/>
    <x v="0"/>
  </r>
  <r>
    <n v="9414"/>
    <d v="2002-01-26T00:00:00"/>
    <x v="0"/>
    <x v="0"/>
    <x v="0"/>
  </r>
  <r>
    <n v="9420"/>
    <d v="2016-01-06T00:00:00"/>
    <x v="0"/>
    <x v="0"/>
    <x v="0"/>
  </r>
  <r>
    <n v="9429"/>
    <d v="2009-01-13T00:00:00"/>
    <x v="282"/>
    <x v="1"/>
    <x v="0"/>
  </r>
  <r>
    <n v="9442"/>
    <d v="2008-04-10T00:00:00"/>
    <x v="283"/>
    <x v="5"/>
    <x v="0"/>
  </r>
  <r>
    <n v="9446"/>
    <d v="2010-02-23T00:00:00"/>
    <x v="284"/>
    <x v="7"/>
    <x v="0"/>
  </r>
  <r>
    <n v="9459"/>
    <d v="2013-04-29T00:00:00"/>
    <x v="285"/>
    <x v="2"/>
    <x v="0"/>
  </r>
  <r>
    <n v="9480"/>
    <d v="2007-01-22T00:00:00"/>
    <x v="0"/>
    <x v="0"/>
    <x v="0"/>
  </r>
  <r>
    <n v="9486"/>
    <d v="2012-10-19T00:00:00"/>
    <x v="0"/>
    <x v="0"/>
    <x v="0"/>
  </r>
  <r>
    <n v="9487"/>
    <d v="2003-07-31T00:00:00"/>
    <x v="0"/>
    <x v="0"/>
    <x v="0"/>
  </r>
  <r>
    <n v="9492"/>
    <d v="2012-09-22T00:00:00"/>
    <x v="0"/>
    <x v="0"/>
    <x v="0"/>
  </r>
  <r>
    <n v="9494"/>
    <d v="2002-09-30T00:00:00"/>
    <x v="0"/>
    <x v="0"/>
    <x v="0"/>
  </r>
  <r>
    <n v="9498"/>
    <d v="2015-09-06T00:00:00"/>
    <x v="0"/>
    <x v="0"/>
    <x v="0"/>
  </r>
  <r>
    <n v="9503"/>
    <d v="2009-06-08T00:00:00"/>
    <x v="0"/>
    <x v="0"/>
    <x v="0"/>
  </r>
  <r>
    <n v="9504"/>
    <d v="2012-10-16T00:00:00"/>
    <x v="0"/>
    <x v="0"/>
    <x v="0"/>
  </r>
  <r>
    <n v="9505"/>
    <d v="2008-11-03T00:00:00"/>
    <x v="0"/>
    <x v="0"/>
    <x v="0"/>
  </r>
  <r>
    <n v="9507"/>
    <d v="2011-10-18T00:00:00"/>
    <x v="0"/>
    <x v="0"/>
    <x v="0"/>
  </r>
  <r>
    <n v="9541"/>
    <d v="2009-01-30T00:00:00"/>
    <x v="0"/>
    <x v="0"/>
    <x v="0"/>
  </r>
  <r>
    <n v="9549"/>
    <d v="2011-07-19T00:00:00"/>
    <x v="286"/>
    <x v="1"/>
    <x v="0"/>
  </r>
  <r>
    <n v="9552"/>
    <d v="2016-08-15T00:00:00"/>
    <x v="0"/>
    <x v="0"/>
    <x v="0"/>
  </r>
  <r>
    <n v="9553"/>
    <d v="2010-03-05T00:00:00"/>
    <x v="0"/>
    <x v="0"/>
    <x v="0"/>
  </r>
  <r>
    <n v="9561"/>
    <d v="2014-03-02T00:00:00"/>
    <x v="0"/>
    <x v="0"/>
    <x v="0"/>
  </r>
  <r>
    <n v="9566"/>
    <d v="2014-08-31T00:00:00"/>
    <x v="0"/>
    <x v="0"/>
    <x v="0"/>
  </r>
  <r>
    <n v="9569"/>
    <d v="2015-02-04T00:00:00"/>
    <x v="0"/>
    <x v="0"/>
    <x v="0"/>
  </r>
  <r>
    <n v="9572"/>
    <d v="2012-03-17T00:00:00"/>
    <x v="0"/>
    <x v="0"/>
    <x v="0"/>
  </r>
  <r>
    <n v="9578"/>
    <d v="2008-11-28T00:00:00"/>
    <x v="287"/>
    <x v="7"/>
    <x v="0"/>
  </r>
  <r>
    <n v="9582"/>
    <d v="2004-10-23T00:00:00"/>
    <x v="0"/>
    <x v="0"/>
    <x v="0"/>
  </r>
  <r>
    <n v="9587"/>
    <d v="2008-12-17T00:00:00"/>
    <x v="0"/>
    <x v="0"/>
    <x v="0"/>
  </r>
  <r>
    <n v="9602"/>
    <d v="2013-06-30T00:00:00"/>
    <x v="288"/>
    <x v="2"/>
    <x v="0"/>
  </r>
  <r>
    <n v="9606"/>
    <d v="2017-09-13T00:00:00"/>
    <x v="289"/>
    <x v="1"/>
    <x v="0"/>
  </r>
  <r>
    <n v="9610"/>
    <d v="2015-10-29T00:00:00"/>
    <x v="0"/>
    <x v="0"/>
    <x v="0"/>
  </r>
  <r>
    <n v="9612"/>
    <d v="2003-08-02T00:00:00"/>
    <x v="290"/>
    <x v="2"/>
    <x v="0"/>
  </r>
  <r>
    <n v="9614"/>
    <d v="2009-08-31T00:00:00"/>
    <x v="0"/>
    <x v="0"/>
    <x v="0"/>
  </r>
  <r>
    <n v="9632"/>
    <d v="2019-10-23T00:00:00"/>
    <x v="0"/>
    <x v="0"/>
    <x v="0"/>
  </r>
  <r>
    <n v="9633"/>
    <d v="2020-11-12T00:00:00"/>
    <x v="0"/>
    <x v="0"/>
    <x v="0"/>
  </r>
  <r>
    <n v="9637"/>
    <d v="2009-07-18T00:00:00"/>
    <x v="0"/>
    <x v="0"/>
    <x v="0"/>
  </r>
  <r>
    <n v="9643"/>
    <d v="2010-06-01T00:00:00"/>
    <x v="0"/>
    <x v="0"/>
    <x v="0"/>
  </r>
  <r>
    <n v="9645"/>
    <d v="2014-02-24T00:00:00"/>
    <x v="0"/>
    <x v="0"/>
    <x v="0"/>
  </r>
  <r>
    <n v="9655"/>
    <d v="2006-07-13T00:00:00"/>
    <x v="0"/>
    <x v="0"/>
    <x v="0"/>
  </r>
  <r>
    <n v="9660"/>
    <d v="2018-12-10T00:00:00"/>
    <x v="0"/>
    <x v="0"/>
    <x v="0"/>
  </r>
  <r>
    <n v="9662"/>
    <d v="2008-06-11T00:00:00"/>
    <x v="0"/>
    <x v="0"/>
    <x v="0"/>
  </r>
  <r>
    <n v="9664"/>
    <d v="2011-08-15T00:00:00"/>
    <x v="291"/>
    <x v="1"/>
    <x v="0"/>
  </r>
  <r>
    <n v="9665"/>
    <d v="2021-06-06T00:00:00"/>
    <x v="292"/>
    <x v="7"/>
    <x v="0"/>
  </r>
  <r>
    <n v="9672"/>
    <d v="2013-08-17T00:00:00"/>
    <x v="0"/>
    <x v="0"/>
    <x v="0"/>
  </r>
  <r>
    <n v="9678"/>
    <d v="2006-08-31T00:00:00"/>
    <x v="293"/>
    <x v="5"/>
    <x v="0"/>
  </r>
  <r>
    <n v="9682"/>
    <d v="2017-11-04T00:00:00"/>
    <x v="0"/>
    <x v="0"/>
    <x v="0"/>
  </r>
  <r>
    <n v="9684"/>
    <d v="2019-01-21T00:00:00"/>
    <x v="0"/>
    <x v="0"/>
    <x v="0"/>
  </r>
  <r>
    <n v="9686"/>
    <d v="2002-06-09T00:00:00"/>
    <x v="0"/>
    <x v="0"/>
    <x v="0"/>
  </r>
  <r>
    <n v="9688"/>
    <d v="2020-04-14T00:00:00"/>
    <x v="0"/>
    <x v="0"/>
    <x v="0"/>
  </r>
  <r>
    <n v="9689"/>
    <d v="2017-03-03T00:00:00"/>
    <x v="0"/>
    <x v="0"/>
    <x v="0"/>
  </r>
  <r>
    <n v="9691"/>
    <d v="2015-10-25T00:00:00"/>
    <x v="0"/>
    <x v="0"/>
    <x v="0"/>
  </r>
  <r>
    <n v="9692"/>
    <d v="2020-09-12T00:00:00"/>
    <x v="294"/>
    <x v="3"/>
    <x v="0"/>
  </r>
  <r>
    <n v="9699"/>
    <d v="2002-06-08T00:00:00"/>
    <x v="0"/>
    <x v="0"/>
    <x v="0"/>
  </r>
  <r>
    <n v="9700"/>
    <d v="2020-05-25T00:00:00"/>
    <x v="0"/>
    <x v="0"/>
    <x v="0"/>
  </r>
  <r>
    <n v="9715"/>
    <d v="2017-09-20T00:00:00"/>
    <x v="0"/>
    <x v="0"/>
    <x v="0"/>
  </r>
  <r>
    <n v="9724"/>
    <d v="2009-05-01T00:00:00"/>
    <x v="0"/>
    <x v="0"/>
    <x v="0"/>
  </r>
  <r>
    <n v="9735"/>
    <d v="2015-12-09T00:00:00"/>
    <x v="295"/>
    <x v="5"/>
    <x v="0"/>
  </r>
  <r>
    <n v="9736"/>
    <d v="2007-10-14T00:00:00"/>
    <x v="0"/>
    <x v="0"/>
    <x v="0"/>
  </r>
  <r>
    <n v="9747"/>
    <d v="2013-07-21T00:00:00"/>
    <x v="296"/>
    <x v="1"/>
    <x v="0"/>
  </r>
  <r>
    <n v="9748"/>
    <d v="2015-04-05T00:00:00"/>
    <x v="0"/>
    <x v="0"/>
    <x v="0"/>
  </r>
  <r>
    <n v="9754"/>
    <d v="2021-04-21T00:00:00"/>
    <x v="297"/>
    <x v="5"/>
    <x v="0"/>
  </r>
  <r>
    <n v="9756"/>
    <d v="2007-06-03T00:00:00"/>
    <x v="0"/>
    <x v="0"/>
    <x v="0"/>
  </r>
  <r>
    <n v="9758"/>
    <d v="2013-01-23T00:00:00"/>
    <x v="0"/>
    <x v="0"/>
    <x v="0"/>
  </r>
  <r>
    <n v="9760"/>
    <d v="2011-07-23T00:00:00"/>
    <x v="0"/>
    <x v="0"/>
    <x v="0"/>
  </r>
  <r>
    <n v="9767"/>
    <d v="2003-07-21T00:00:00"/>
    <x v="285"/>
    <x v="1"/>
    <x v="0"/>
  </r>
  <r>
    <n v="9778"/>
    <d v="2003-11-20T00:00:00"/>
    <x v="0"/>
    <x v="0"/>
    <x v="0"/>
  </r>
  <r>
    <n v="9784"/>
    <d v="2007-06-25T00:00:00"/>
    <x v="298"/>
    <x v="3"/>
    <x v="0"/>
  </r>
  <r>
    <n v="9789"/>
    <d v="2010-02-24T00:00:00"/>
    <x v="0"/>
    <x v="0"/>
    <x v="0"/>
  </r>
  <r>
    <n v="9793"/>
    <d v="2007-01-05T00:00:00"/>
    <x v="0"/>
    <x v="0"/>
    <x v="0"/>
  </r>
  <r>
    <n v="9810"/>
    <d v="2013-04-10T00:00:00"/>
    <x v="0"/>
    <x v="0"/>
    <x v="0"/>
  </r>
  <r>
    <n v="9811"/>
    <d v="2013-01-07T00:00:00"/>
    <x v="299"/>
    <x v="3"/>
    <x v="0"/>
  </r>
  <r>
    <n v="9815"/>
    <d v="2009-12-01T00:00:00"/>
    <x v="0"/>
    <x v="0"/>
    <x v="0"/>
  </r>
  <r>
    <n v="9816"/>
    <d v="2011-08-17T00:00:00"/>
    <x v="0"/>
    <x v="0"/>
    <x v="0"/>
  </r>
  <r>
    <n v="9830"/>
    <d v="2007-07-14T00:00:00"/>
    <x v="0"/>
    <x v="0"/>
    <x v="0"/>
  </r>
  <r>
    <n v="9831"/>
    <d v="2006-12-25T00:00:00"/>
    <x v="0"/>
    <x v="0"/>
    <x v="0"/>
  </r>
  <r>
    <n v="9839"/>
    <d v="2019-07-01T00:00:00"/>
    <x v="0"/>
    <x v="0"/>
    <x v="0"/>
  </r>
  <r>
    <n v="9851"/>
    <d v="2014-02-13T00:00:00"/>
    <x v="231"/>
    <x v="2"/>
    <x v="0"/>
  </r>
  <r>
    <n v="9853"/>
    <d v="2004-05-30T00:00:00"/>
    <x v="0"/>
    <x v="0"/>
    <x v="0"/>
  </r>
  <r>
    <n v="9855"/>
    <d v="2018-07-08T00:00:00"/>
    <x v="0"/>
    <x v="0"/>
    <x v="0"/>
  </r>
  <r>
    <n v="9856"/>
    <d v="2002-01-15T00:00:00"/>
    <x v="0"/>
    <x v="0"/>
    <x v="0"/>
  </r>
  <r>
    <n v="9857"/>
    <d v="2017-03-25T00:00:00"/>
    <x v="0"/>
    <x v="0"/>
    <x v="0"/>
  </r>
  <r>
    <n v="9858"/>
    <d v="2006-01-08T00:00:00"/>
    <x v="300"/>
    <x v="2"/>
    <x v="0"/>
  </r>
  <r>
    <n v="9861"/>
    <d v="2011-04-16T00:00:00"/>
    <x v="0"/>
    <x v="0"/>
    <x v="0"/>
  </r>
  <r>
    <n v="9868"/>
    <d v="2012-12-03T00:00:00"/>
    <x v="0"/>
    <x v="0"/>
    <x v="0"/>
  </r>
  <r>
    <n v="9891"/>
    <d v="2013-07-14T00:00:00"/>
    <x v="0"/>
    <x v="0"/>
    <x v="0"/>
  </r>
  <r>
    <n v="9894"/>
    <d v="2009-12-26T00:00:00"/>
    <x v="0"/>
    <x v="0"/>
    <x v="0"/>
  </r>
  <r>
    <n v="9900"/>
    <d v="2012-06-28T00:00:00"/>
    <x v="0"/>
    <x v="0"/>
    <x v="0"/>
  </r>
  <r>
    <n v="9904"/>
    <d v="2006-08-16T00:00:00"/>
    <x v="301"/>
    <x v="8"/>
    <x v="0"/>
  </r>
  <r>
    <n v="9905"/>
    <d v="2013-03-28T00:00:00"/>
    <x v="0"/>
    <x v="0"/>
    <x v="0"/>
  </r>
  <r>
    <n v="9916"/>
    <d v="2017-01-31T00:00:00"/>
    <x v="0"/>
    <x v="0"/>
    <x v="0"/>
  </r>
  <r>
    <n v="9922"/>
    <d v="2011-07-03T00:00:00"/>
    <x v="0"/>
    <x v="0"/>
    <x v="0"/>
  </r>
  <r>
    <n v="9925"/>
    <d v="2019-11-08T00:00:00"/>
    <x v="0"/>
    <x v="0"/>
    <x v="0"/>
  </r>
  <r>
    <n v="9929"/>
    <d v="2017-05-18T00:00:00"/>
    <x v="0"/>
    <x v="0"/>
    <x v="0"/>
  </r>
  <r>
    <n v="9933"/>
    <d v="2007-05-19T00:00:00"/>
    <x v="0"/>
    <x v="0"/>
    <x v="0"/>
  </r>
  <r>
    <n v="9943"/>
    <d v="2005-07-29T00:00:00"/>
    <x v="0"/>
    <x v="0"/>
    <x v="0"/>
  </r>
  <r>
    <n v="9945"/>
    <d v="2006-06-18T00:00:00"/>
    <x v="0"/>
    <x v="0"/>
    <x v="0"/>
  </r>
  <r>
    <n v="9958"/>
    <d v="2005-07-22T00:00:00"/>
    <x v="0"/>
    <x v="0"/>
    <x v="0"/>
  </r>
  <r>
    <n v="9969"/>
    <d v="2007-06-22T00:00:00"/>
    <x v="0"/>
    <x v="0"/>
    <x v="0"/>
  </r>
  <r>
    <n v="9970"/>
    <d v="2014-04-26T00:00:00"/>
    <x v="0"/>
    <x v="0"/>
    <x v="0"/>
  </r>
  <r>
    <n v="9977"/>
    <d v="2011-05-21T00:00:00"/>
    <x v="0"/>
    <x v="0"/>
    <x v="0"/>
  </r>
  <r>
    <n v="9986"/>
    <d v="2015-12-14T00:00:00"/>
    <x v="0"/>
    <x v="0"/>
    <x v="0"/>
  </r>
  <r>
    <n v="9997"/>
    <d v="2009-12-03T00:00:0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s v="Cashier"/>
    <s v="Store"/>
    <d v="2017-01-11T00:00:00"/>
    <x v="0"/>
    <x v="0"/>
    <x v="0"/>
    <n v="60"/>
    <x v="0"/>
    <n v="11"/>
  </r>
  <r>
    <s v="Cashier"/>
    <s v="Store"/>
    <d v="2017-01-07T00:00:00"/>
    <x v="1"/>
    <x v="0"/>
    <x v="1"/>
    <n v="80"/>
    <x v="0"/>
    <n v="21"/>
  </r>
  <r>
    <s v="Maintenance"/>
    <s v="Backoffice"/>
    <d v="2017-01-04T00:00:00"/>
    <x v="2"/>
    <x v="1"/>
    <x v="1"/>
    <n v="69"/>
    <x v="0"/>
    <n v="28"/>
  </r>
  <r>
    <s v="Bookkeeper"/>
    <s v="Backoffice"/>
    <d v="2017-03-16T00:00:00"/>
    <x v="3"/>
    <x v="0"/>
    <x v="1"/>
    <n v="44"/>
    <x v="0"/>
    <n v="28"/>
  </r>
  <r>
    <s v="Controller"/>
    <s v="Corporate"/>
    <d v="2017-04-24T00:00:00"/>
    <x v="4"/>
    <x v="0"/>
    <x v="1"/>
    <n v="14"/>
    <x v="0"/>
    <n v="19"/>
  </r>
  <r>
    <s v="Cashier"/>
    <s v="Store"/>
    <d v="2017-04-15T00:00:00"/>
    <x v="5"/>
    <x v="0"/>
    <x v="0"/>
    <n v="74"/>
    <x v="0"/>
    <n v="30"/>
  </r>
  <r>
    <s v="Cashier"/>
    <s v="Store"/>
    <d v="2017-06-07T00:00:00"/>
    <x v="6"/>
    <x v="1"/>
    <x v="0"/>
    <n v="66"/>
    <x v="0"/>
    <n v="18"/>
  </r>
  <r>
    <s v="Cashier"/>
    <s v="Store"/>
    <d v="2017-05-26T00:00:00"/>
    <x v="7"/>
    <x v="1"/>
    <x v="0"/>
    <n v="66"/>
    <x v="0"/>
    <n v="49"/>
  </r>
  <r>
    <s v="Cashier"/>
    <s v="Store"/>
    <d v="2017-05-29T00:00:00"/>
    <x v="8"/>
    <x v="1"/>
    <x v="2"/>
    <n v="69"/>
    <x v="0"/>
    <n v="50"/>
  </r>
  <r>
    <s v="Maintenance"/>
    <s v="Backoffice"/>
    <d v="2017-06-26T00:00:00"/>
    <x v="9"/>
    <x v="1"/>
    <x v="0"/>
    <n v="64"/>
    <x v="0"/>
    <n v="25"/>
  </r>
  <r>
    <s v="Cashier"/>
    <s v="Store"/>
    <d v="2017-08-08T00:00:00"/>
    <x v="10"/>
    <x v="0"/>
    <x v="0"/>
    <n v="65"/>
    <x v="0"/>
    <n v="21"/>
  </r>
  <r>
    <s v="Maintenance"/>
    <s v="Backoffice"/>
    <d v="2017-08-04T00:00:00"/>
    <x v="11"/>
    <x v="0"/>
    <x v="1"/>
    <n v="65"/>
    <x v="0"/>
    <n v="35"/>
  </r>
  <r>
    <s v="Accountant"/>
    <s v="Corporate"/>
    <d v="2017-08-25T00:00:00"/>
    <x v="12"/>
    <x v="1"/>
    <x v="0"/>
    <n v="22"/>
    <x v="0"/>
    <n v="40"/>
  </r>
  <r>
    <s v="Billing Clerk"/>
    <s v="Backoffice"/>
    <d v="2017-09-27T00:00:00"/>
    <x v="13"/>
    <x v="1"/>
    <x v="0"/>
    <n v="48"/>
    <x v="0"/>
    <n v="23"/>
  </r>
  <r>
    <s v="Maintenance"/>
    <s v="Backoffice"/>
    <d v="2017-09-27T00:00:00"/>
    <x v="14"/>
    <x v="1"/>
    <x v="3"/>
    <n v="58"/>
    <x v="0"/>
    <n v="30"/>
  </r>
  <r>
    <s v="Cashier"/>
    <s v="Store"/>
    <d v="2017-10-18T00:00:00"/>
    <x v="15"/>
    <x v="1"/>
    <x v="1"/>
    <n v="70"/>
    <x v="0"/>
    <n v="24"/>
  </r>
  <r>
    <s v="Cashier"/>
    <s v="Store"/>
    <d v="2017-11-08T00:00:00"/>
    <x v="16"/>
    <x v="0"/>
    <x v="4"/>
    <n v="73"/>
    <x v="0"/>
    <n v="28"/>
  </r>
  <r>
    <s v="Cashier"/>
    <s v="Store"/>
    <d v="2017-10-28T00:00:00"/>
    <x v="17"/>
    <x v="0"/>
    <x v="0"/>
    <n v="68"/>
    <x v="0"/>
    <n v="41"/>
  </r>
  <r>
    <s v="Cashier"/>
    <s v="Store"/>
    <d v="2017-11-02T00:00:00"/>
    <x v="18"/>
    <x v="1"/>
    <x v="3"/>
    <n v="78"/>
    <x v="0"/>
    <n v="43"/>
  </r>
  <r>
    <s v="Cashier"/>
    <s v="Store"/>
    <d v="2017-11-27T00:00:00"/>
    <x v="19"/>
    <x v="0"/>
    <x v="0"/>
    <n v="65"/>
    <x v="0"/>
    <n v="41"/>
  </r>
  <r>
    <s v="Billing Clerk"/>
    <s v="Backoffice"/>
    <d v="2017-12-30T00:00:00"/>
    <x v="20"/>
    <x v="0"/>
    <x v="1"/>
    <n v="55"/>
    <x v="0"/>
    <n v="19"/>
  </r>
  <r>
    <s v="Stockroom"/>
    <s v="Store"/>
    <d v="2018-01-05T00:00:00"/>
    <x v="21"/>
    <x v="0"/>
    <x v="0"/>
    <n v="59"/>
    <x v="0"/>
    <n v="31"/>
  </r>
  <r>
    <s v="Cashier"/>
    <s v="Store"/>
    <d v="2018-01-29T00:00:00"/>
    <x v="22"/>
    <x v="0"/>
    <x v="0"/>
    <n v="61"/>
    <x v="0"/>
    <n v="33"/>
  </r>
  <r>
    <s v="Maintenance"/>
    <s v="Backoffice"/>
    <d v="2018-03-04T00:00:00"/>
    <x v="23"/>
    <x v="1"/>
    <x v="0"/>
    <n v="53"/>
    <x v="0"/>
    <n v="27"/>
  </r>
  <r>
    <s v="Stockroom"/>
    <s v="Store"/>
    <d v="2018-03-16T00:00:00"/>
    <x v="24"/>
    <x v="0"/>
    <x v="0"/>
    <n v="58"/>
    <x v="0"/>
    <n v="26"/>
  </r>
  <r>
    <s v="Stockroom"/>
    <s v="Store"/>
    <d v="2018-05-03T00:00:00"/>
    <x v="25"/>
    <x v="0"/>
    <x v="0"/>
    <n v="58"/>
    <x v="0"/>
    <n v="17"/>
  </r>
  <r>
    <s v="Stockroom"/>
    <s v="Store"/>
    <d v="2018-05-07T00:00:00"/>
    <x v="26"/>
    <x v="0"/>
    <x v="0"/>
    <n v="56"/>
    <x v="0"/>
    <n v="24"/>
  </r>
  <r>
    <s v="Stockroom"/>
    <s v="Store"/>
    <d v="2018-05-11T00:00:00"/>
    <x v="27"/>
    <x v="0"/>
    <x v="1"/>
    <n v="51"/>
    <x v="0"/>
    <n v="27"/>
  </r>
  <r>
    <s v="General Manager"/>
    <s v="Backoffice"/>
    <d v="2018-05-11T00:00:00"/>
    <x v="28"/>
    <x v="0"/>
    <x v="0"/>
    <n v="17"/>
    <x v="0"/>
    <n v="32"/>
  </r>
  <r>
    <s v="Billing Clerk"/>
    <s v="Backoffice"/>
    <d v="2018-06-15T00:00:00"/>
    <x v="29"/>
    <x v="0"/>
    <x v="2"/>
    <n v="46"/>
    <x v="0"/>
    <n v="19"/>
  </r>
  <r>
    <s v="Stockroom"/>
    <s v="Store"/>
    <d v="2018-06-14T00:00:00"/>
    <x v="30"/>
    <x v="1"/>
    <x v="4"/>
    <n v="63"/>
    <x v="0"/>
    <n v="41"/>
  </r>
  <r>
    <s v="Marketing Staff"/>
    <s v="Corporate"/>
    <d v="2018-08-24T00:00:00"/>
    <x v="31"/>
    <x v="1"/>
    <x v="0"/>
    <n v="22"/>
    <x v="0"/>
    <n v="23"/>
  </r>
  <r>
    <s v="Marketing Staff"/>
    <s v="Corporate"/>
    <d v="2018-09-15T00:00:00"/>
    <x v="32"/>
    <x v="1"/>
    <x v="1"/>
    <n v="24"/>
    <x v="0"/>
    <n v="13"/>
  </r>
  <r>
    <s v="Stockroom"/>
    <s v="Store"/>
    <d v="2018-09-22T00:00:00"/>
    <x v="33"/>
    <x v="1"/>
    <x v="0"/>
    <n v="54"/>
    <x v="0"/>
    <n v="26"/>
  </r>
  <r>
    <s v="Cashier"/>
    <s v="Store"/>
    <d v="2018-11-21T00:00:00"/>
    <x v="34"/>
    <x v="0"/>
    <x v="3"/>
    <n v="68"/>
    <x v="0"/>
    <n v="14"/>
  </r>
  <r>
    <s v="Accountant"/>
    <s v="Corporate"/>
    <d v="2018-11-19T00:00:00"/>
    <x v="35"/>
    <x v="0"/>
    <x v="0"/>
    <n v="25"/>
    <x v="0"/>
    <n v="28"/>
  </r>
  <r>
    <s v="Cashier"/>
    <s v="Store"/>
    <d v="2018-11-12T00:00:00"/>
    <x v="36"/>
    <x v="1"/>
    <x v="2"/>
    <n v="76"/>
    <x v="0"/>
    <n v="39"/>
  </r>
  <r>
    <s v="Assistant Controller"/>
    <s v="Corporate"/>
    <d v="2018-12-15T00:00:00"/>
    <x v="37"/>
    <x v="0"/>
    <x v="2"/>
    <n v="23"/>
    <x v="0"/>
    <n v="35"/>
  </r>
  <r>
    <s v="Cashier"/>
    <s v="Store"/>
    <d v="2018-12-16T00:00:00"/>
    <x v="38"/>
    <x v="0"/>
    <x v="3"/>
    <n v="79"/>
    <x v="0"/>
    <n v="37"/>
  </r>
  <r>
    <s v="Stockroom"/>
    <s v="Store"/>
    <d v="2018-12-26T00:00:00"/>
    <x v="39"/>
    <x v="0"/>
    <x v="0"/>
    <n v="56"/>
    <x v="0"/>
    <n v="30"/>
  </r>
  <r>
    <s v="Assistant Manager"/>
    <s v="Store"/>
    <d v="2019-01-03T00:00:00"/>
    <x v="40"/>
    <x v="1"/>
    <x v="0"/>
    <n v="27"/>
    <x v="0"/>
    <n v="24"/>
  </r>
  <r>
    <s v="Billing Clerk"/>
    <s v="Backoffice"/>
    <d v="2018-12-28T00:00:00"/>
    <x v="41"/>
    <x v="1"/>
    <x v="4"/>
    <n v="58"/>
    <x v="0"/>
    <n v="33"/>
  </r>
  <r>
    <s v="Maintenance"/>
    <s v="Backoffice"/>
    <d v="2019-01-26T00:00:00"/>
    <x v="42"/>
    <x v="0"/>
    <x v="0"/>
    <n v="52"/>
    <x v="0"/>
    <n v="23"/>
  </r>
  <r>
    <s v="Cashier"/>
    <s v="Store"/>
    <d v="2019-01-17T00:00:00"/>
    <x v="43"/>
    <x v="0"/>
    <x v="0"/>
    <n v="73"/>
    <x v="0"/>
    <n v="34"/>
  </r>
  <r>
    <s v="Maintenance"/>
    <s v="Backoffice"/>
    <d v="2019-03-02T00:00:00"/>
    <x v="44"/>
    <x v="0"/>
    <x v="0"/>
    <n v="62"/>
    <x v="0"/>
    <n v="18"/>
  </r>
  <r>
    <s v="Maintenance"/>
    <s v="Backoffice"/>
    <d v="2019-04-27T00:00:00"/>
    <x v="45"/>
    <x v="0"/>
    <x v="0"/>
    <n v="68"/>
    <x v="0"/>
    <n v="22"/>
  </r>
  <r>
    <s v="Stockroom"/>
    <s v="Store"/>
    <d v="2019-04-04T00:00:00"/>
    <x v="46"/>
    <x v="1"/>
    <x v="3"/>
    <n v="56"/>
    <x v="0"/>
    <n v="52"/>
  </r>
  <r>
    <s v="Stockroom"/>
    <s v="Store"/>
    <d v="2019-04-20T00:00:00"/>
    <x v="47"/>
    <x v="0"/>
    <x v="0"/>
    <n v="62"/>
    <x v="0"/>
    <n v="47"/>
  </r>
  <r>
    <s v="Maintenance"/>
    <s v="Backoffice"/>
    <d v="2019-05-18T00:00:00"/>
    <x v="48"/>
    <x v="1"/>
    <x v="3"/>
    <n v="68"/>
    <x v="0"/>
    <n v="23"/>
  </r>
  <r>
    <s v="Stockroom"/>
    <s v="Store"/>
    <d v="2019-05-01T00:00:00"/>
    <x v="49"/>
    <x v="1"/>
    <x v="2"/>
    <n v="50"/>
    <x v="0"/>
    <n v="48"/>
  </r>
  <r>
    <s v="Stockroom"/>
    <s v="Store"/>
    <d v="2019-05-24T00:00:00"/>
    <x v="50"/>
    <x v="0"/>
    <x v="0"/>
    <n v="53"/>
    <x v="0"/>
    <n v="34"/>
  </r>
  <r>
    <s v="Stockroom"/>
    <s v="Store"/>
    <d v="2019-06-03T00:00:00"/>
    <x v="51"/>
    <x v="0"/>
    <x v="0"/>
    <n v="59"/>
    <x v="0"/>
    <n v="34"/>
  </r>
  <r>
    <s v="Marketing Manager"/>
    <s v="Corporate"/>
    <d v="2019-06-20T00:00:00"/>
    <x v="52"/>
    <x v="1"/>
    <x v="2"/>
    <n v="17"/>
    <x v="0"/>
    <n v="37"/>
  </r>
  <r>
    <s v="Billing Clerk"/>
    <s v="Backoffice"/>
    <d v="2019-07-10T00:00:00"/>
    <x v="53"/>
    <x v="1"/>
    <x v="1"/>
    <n v="50"/>
    <x v="0"/>
    <n v="25"/>
  </r>
  <r>
    <s v="Maintenance"/>
    <s v="Backoffice"/>
    <d v="2019-07-08T00:00:00"/>
    <x v="54"/>
    <x v="1"/>
    <x v="1"/>
    <n v="55"/>
    <x v="0"/>
    <n v="28"/>
  </r>
  <r>
    <s v="Maintenance"/>
    <s v="Backoffice"/>
    <d v="2019-08-13T00:00:00"/>
    <x v="55"/>
    <x v="1"/>
    <x v="2"/>
    <n v="66"/>
    <x v="0"/>
    <n v="11"/>
  </r>
  <r>
    <s v="Stockroom"/>
    <s v="Store"/>
    <d v="2019-09-06T00:00:00"/>
    <x v="56"/>
    <x v="1"/>
    <x v="4"/>
    <n v="52"/>
    <x v="0"/>
    <n v="2"/>
  </r>
  <r>
    <s v="Cashier"/>
    <s v="Store"/>
    <d v="2019-09-01T00:00:00"/>
    <x v="57"/>
    <x v="0"/>
    <x v="0"/>
    <n v="66"/>
    <x v="0"/>
    <n v="18"/>
  </r>
  <r>
    <s v="Maintenance"/>
    <s v="Backoffice"/>
    <d v="2019-08-16T00:00:00"/>
    <x v="58"/>
    <x v="0"/>
    <x v="2"/>
    <n v="61"/>
    <x v="0"/>
    <n v="40"/>
  </r>
  <r>
    <s v="Maintenance"/>
    <s v="Backoffice"/>
    <d v="2019-08-27T00:00:00"/>
    <x v="59"/>
    <x v="1"/>
    <x v="0"/>
    <n v="59"/>
    <x v="0"/>
    <n v="40"/>
  </r>
  <r>
    <s v="Stockroom"/>
    <s v="Store"/>
    <d v="2019-09-18T00:00:00"/>
    <x v="60"/>
    <x v="0"/>
    <x v="2"/>
    <n v="61"/>
    <x v="0"/>
    <n v="21"/>
  </r>
  <r>
    <s v="Cashier"/>
    <s v="Store"/>
    <d v="2019-09-23T00:00:00"/>
    <x v="61"/>
    <x v="1"/>
    <x v="0"/>
    <n v="67"/>
    <x v="0"/>
    <n v="27"/>
  </r>
  <r>
    <s v="Accountant"/>
    <s v="Corporate"/>
    <d v="2019-09-27T00:00:00"/>
    <x v="62"/>
    <x v="0"/>
    <x v="0"/>
    <n v="25"/>
    <x v="0"/>
    <n v="29"/>
  </r>
  <r>
    <s v="Billing Clerk"/>
    <s v="Backoffice"/>
    <d v="2019-09-19T00:00:00"/>
    <x v="63"/>
    <x v="0"/>
    <x v="4"/>
    <n v="52"/>
    <x v="0"/>
    <n v="39"/>
  </r>
  <r>
    <s v="Stockroom"/>
    <s v="Store"/>
    <d v="2019-10-07T00:00:00"/>
    <x v="64"/>
    <x v="0"/>
    <x v="2"/>
    <n v="61"/>
    <x v="0"/>
    <n v="33"/>
  </r>
  <r>
    <s v="Cashier"/>
    <s v="Store"/>
    <d v="2019-10-17T00:00:00"/>
    <x v="65"/>
    <x v="0"/>
    <x v="1"/>
    <n v="78"/>
    <x v="0"/>
    <n v="25"/>
  </r>
  <r>
    <s v="Cashier"/>
    <s v="Store"/>
    <d v="2019-10-16T00:00:00"/>
    <x v="66"/>
    <x v="0"/>
    <x v="0"/>
    <n v="78"/>
    <x v="0"/>
    <n v="31"/>
  </r>
  <r>
    <s v="Stockroom"/>
    <s v="Store"/>
    <d v="2019-12-18T00:00:00"/>
    <x v="67"/>
    <x v="0"/>
    <x v="0"/>
    <n v="54"/>
    <x v="0"/>
    <n v="17"/>
  </r>
  <r>
    <s v="Stockroom"/>
    <s v="Store"/>
    <d v="2020-01-05T00:00:00"/>
    <x v="68"/>
    <x v="0"/>
    <x v="0"/>
    <n v="57"/>
    <x v="0"/>
    <n v="46"/>
  </r>
  <r>
    <s v="Cashier"/>
    <s v="Store"/>
    <d v="2020-01-23T00:00:00"/>
    <x v="69"/>
    <x v="0"/>
    <x v="2"/>
    <n v="65"/>
    <x v="0"/>
    <n v="30"/>
  </r>
  <r>
    <s v="Stockroom"/>
    <s v="Store"/>
    <d v="2020-01-26T00:00:00"/>
    <x v="69"/>
    <x v="0"/>
    <x v="0"/>
    <n v="59"/>
    <x v="0"/>
    <n v="27"/>
  </r>
  <r>
    <s v="Maintenance"/>
    <s v="Backoffice"/>
    <d v="2020-02-17T00:00:00"/>
    <x v="70"/>
    <x v="0"/>
    <x v="2"/>
    <n v="67"/>
    <x v="0"/>
    <n v="16"/>
  </r>
  <r>
    <s v="Cashier"/>
    <s v="Store"/>
    <d v="2020-03-09T00:00:00"/>
    <x v="71"/>
    <x v="0"/>
    <x v="1"/>
    <n v="74"/>
    <x v="0"/>
    <n v="13"/>
  </r>
  <r>
    <s v="Stockroom"/>
    <s v="Store"/>
    <d v="2020-03-09T00:00:00"/>
    <x v="72"/>
    <x v="1"/>
    <x v="0"/>
    <n v="59"/>
    <x v="0"/>
    <n v="25"/>
  </r>
  <r>
    <s v="Stockroom"/>
    <s v="Store"/>
    <d v="2020-02-10T00:00:00"/>
    <x v="73"/>
    <x v="0"/>
    <x v="0"/>
    <n v="58"/>
    <x v="0"/>
    <n v="54"/>
  </r>
  <r>
    <s v="Maintenance"/>
    <s v="Backoffice"/>
    <d v="2020-04-13T00:00:00"/>
    <x v="74"/>
    <x v="1"/>
    <x v="0"/>
    <n v="62"/>
    <x v="0"/>
    <n v="35"/>
  </r>
  <r>
    <s v="Cashier"/>
    <s v="Store"/>
    <d v="2020-05-03T00:00:00"/>
    <x v="75"/>
    <x v="0"/>
    <x v="4"/>
    <n v="67"/>
    <x v="0"/>
    <n v="35"/>
  </r>
  <r>
    <s v="Marketing Staff"/>
    <s v="Corporate"/>
    <d v="2020-05-02T00:00:00"/>
    <x v="76"/>
    <x v="0"/>
    <x v="1"/>
    <n v="24"/>
    <x v="0"/>
    <n v="39"/>
  </r>
  <r>
    <s v="Cashier"/>
    <s v="Store"/>
    <d v="2020-06-14T00:00:00"/>
    <x v="77"/>
    <x v="0"/>
    <x v="4"/>
    <n v="66"/>
    <x v="0"/>
    <n v="21"/>
  </r>
  <r>
    <s v="Stockroom"/>
    <s v="Store"/>
    <d v="2020-06-10T00:00:00"/>
    <x v="78"/>
    <x v="1"/>
    <x v="0"/>
    <n v="56"/>
    <x v="0"/>
    <n v="38"/>
  </r>
  <r>
    <s v="Cashier"/>
    <s v="Store"/>
    <d v="2020-07-09T00:00:00"/>
    <x v="79"/>
    <x v="0"/>
    <x v="0"/>
    <n v="65"/>
    <x v="0"/>
    <n v="12"/>
  </r>
  <r>
    <s v="Maintenance"/>
    <s v="Backoffice"/>
    <d v="2020-07-19T00:00:00"/>
    <x v="80"/>
    <x v="0"/>
    <x v="0"/>
    <n v="67"/>
    <x v="0"/>
    <n v="34"/>
  </r>
  <r>
    <s v="Store Manager"/>
    <s v="Store"/>
    <d v="2020-07-30T00:00:00"/>
    <x v="81"/>
    <x v="0"/>
    <x v="2"/>
    <n v="23"/>
    <x v="0"/>
    <n v="27"/>
  </r>
  <r>
    <s v="Stockroom"/>
    <s v="Store"/>
    <d v="2020-08-31T00:00:00"/>
    <x v="82"/>
    <x v="0"/>
    <x v="1"/>
    <n v="56"/>
    <x v="0"/>
    <n v="16"/>
  </r>
  <r>
    <s v="Stockroom"/>
    <s v="Store"/>
    <d v="2020-08-26T00:00:00"/>
    <x v="83"/>
    <x v="1"/>
    <x v="2"/>
    <n v="60"/>
    <x v="0"/>
    <n v="37"/>
  </r>
  <r>
    <s v="Billing Clerk"/>
    <s v="Backoffice"/>
    <d v="2020-09-13T00:00:00"/>
    <x v="84"/>
    <x v="0"/>
    <x v="0"/>
    <n v="54"/>
    <x v="0"/>
    <n v="21"/>
  </r>
  <r>
    <s v="Cashier"/>
    <s v="Store"/>
    <d v="2020-09-05T00:00:00"/>
    <x v="85"/>
    <x v="0"/>
    <x v="2"/>
    <n v="72"/>
    <x v="0"/>
    <n v="34"/>
  </r>
  <r>
    <s v="Stockroom"/>
    <s v="Store"/>
    <d v="2020-10-02T00:00:00"/>
    <x v="86"/>
    <x v="0"/>
    <x v="0"/>
    <n v="56"/>
    <x v="0"/>
    <n v="26"/>
  </r>
  <r>
    <s v="Stockroom"/>
    <s v="Store"/>
    <d v="2020-10-02T00:00:00"/>
    <x v="87"/>
    <x v="0"/>
    <x v="3"/>
    <n v="60"/>
    <x v="0"/>
    <n v="32"/>
  </r>
  <r>
    <s v="Stockroom"/>
    <s v="Store"/>
    <d v="2020-10-15T00:00:00"/>
    <x v="88"/>
    <x v="0"/>
    <x v="2"/>
    <n v="50"/>
    <x v="0"/>
    <n v="33"/>
  </r>
  <r>
    <s v="Stockroom"/>
    <s v="Store"/>
    <d v="2020-10-29T00:00:00"/>
    <x v="89"/>
    <x v="0"/>
    <x v="0"/>
    <n v="52"/>
    <x v="0"/>
    <n v="25"/>
  </r>
  <r>
    <s v="Maintenance"/>
    <s v="Backoffice"/>
    <d v="2020-12-11T00:00:00"/>
    <x v="90"/>
    <x v="0"/>
    <x v="0"/>
    <n v="65"/>
    <x v="1"/>
    <n v="43"/>
  </r>
  <r>
    <s v="Stockroom"/>
    <s v="Store"/>
    <d v="2020-12-26T00:00:00"/>
    <x v="91"/>
    <x v="0"/>
    <x v="0"/>
    <n v="50"/>
    <x v="1"/>
    <n v="35"/>
  </r>
  <r>
    <s v="Cashier"/>
    <s v="Store"/>
    <d v="2020-12-19T00:00:00"/>
    <x v="92"/>
    <x v="0"/>
    <x v="2"/>
    <n v="63"/>
    <x v="1"/>
    <n v="51"/>
  </r>
  <r>
    <s v="Maintenance"/>
    <s v="Backoffice"/>
    <d v="2021-01-02T00:00:00"/>
    <x v="93"/>
    <x v="1"/>
    <x v="0"/>
    <n v="67"/>
    <x v="1"/>
    <n v="38"/>
  </r>
  <r>
    <s v="Cashier"/>
    <s v="Store"/>
    <d v="2021-01-20T00:00:00"/>
    <x v="94"/>
    <x v="0"/>
    <x v="0"/>
    <n v="72"/>
    <x v="1"/>
    <n v="21"/>
  </r>
  <r>
    <s v="Stockroom"/>
    <s v="Store"/>
    <d v="2021-01-28T00:00:00"/>
    <x v="95"/>
    <x v="1"/>
    <x v="0"/>
    <n v="56"/>
    <x v="1"/>
    <n v="40"/>
  </r>
  <r>
    <s v="Billing Clerk"/>
    <s v="Backoffice"/>
    <d v="2021-02-13T00:00:00"/>
    <x v="96"/>
    <x v="0"/>
    <x v="0"/>
    <n v="46"/>
    <x v="1"/>
    <n v="33"/>
  </r>
  <r>
    <s v="Maintenance"/>
    <s v="Backoffice"/>
    <d v="2021-03-15T00:00:00"/>
    <x v="97"/>
    <x v="1"/>
    <x v="2"/>
    <n v="53"/>
    <x v="1"/>
    <n v="35"/>
  </r>
  <r>
    <s v="Stockroom"/>
    <s v="Store"/>
    <d v="2021-03-29T00:00:00"/>
    <x v="98"/>
    <x v="0"/>
    <x v="0"/>
    <n v="62"/>
    <x v="1"/>
    <n v="29"/>
  </r>
  <r>
    <s v="Cashier"/>
    <s v="Store"/>
    <d v="2021-03-19T00:00:00"/>
    <x v="99"/>
    <x v="1"/>
    <x v="0"/>
    <n v="62"/>
    <x v="1"/>
    <n v="40"/>
  </r>
  <r>
    <s v="Maintenance"/>
    <s v="Backoffice"/>
    <d v="2021-03-31T00:00:00"/>
    <x v="100"/>
    <x v="0"/>
    <x v="0"/>
    <n v="56"/>
    <x v="1"/>
    <n v="32"/>
  </r>
  <r>
    <s v="Maintenance"/>
    <s v="Backoffice"/>
    <d v="2021-04-20T00:00:00"/>
    <x v="101"/>
    <x v="0"/>
    <x v="1"/>
    <n v="65"/>
    <x v="1"/>
    <n v="27"/>
  </r>
  <r>
    <s v="Cashier"/>
    <s v="Store"/>
    <d v="2021-05-05T00:00:00"/>
    <x v="102"/>
    <x v="0"/>
    <x v="4"/>
    <n v="64"/>
    <x v="1"/>
    <n v="24"/>
  </r>
  <r>
    <s v="Billing Clerk"/>
    <s v="Backoffice"/>
    <d v="2021-06-10T00:00:00"/>
    <x v="103"/>
    <x v="0"/>
    <x v="1"/>
    <n v="51"/>
    <x v="1"/>
    <n v="16"/>
  </r>
  <r>
    <s v="Cashier"/>
    <s v="Store"/>
    <d v="2021-05-24T00:00:00"/>
    <x v="104"/>
    <x v="0"/>
    <x v="4"/>
    <n v="76"/>
    <x v="1"/>
    <n v="37"/>
  </r>
  <r>
    <s v="Cashier"/>
    <s v="Store"/>
    <d v="2021-07-04T00:00:00"/>
    <x v="105"/>
    <x v="0"/>
    <x v="0"/>
    <n v="62"/>
    <x v="1"/>
    <n v="23"/>
  </r>
  <r>
    <s v="Stockroom"/>
    <s v="Store"/>
    <d v="2021-07-20T00:00:00"/>
    <x v="106"/>
    <x v="1"/>
    <x v="0"/>
    <n v="48"/>
    <x v="1"/>
    <n v="31"/>
  </r>
  <r>
    <s v="Accountant"/>
    <s v="Corporate"/>
    <d v="2021-07-25T00:00:00"/>
    <x v="106"/>
    <x v="1"/>
    <x v="0"/>
    <n v="23"/>
    <x v="1"/>
    <n v="26"/>
  </r>
  <r>
    <s v="Stockroom"/>
    <s v="Store"/>
    <d v="2021-08-06T00:00:00"/>
    <x v="107"/>
    <x v="0"/>
    <x v="0"/>
    <n v="48"/>
    <x v="1"/>
    <n v="29"/>
  </r>
  <r>
    <s v="Maintenance"/>
    <s v="Backoffice"/>
    <d v="2021-09-11T00:00:00"/>
    <x v="108"/>
    <x v="1"/>
    <x v="0"/>
    <n v="59"/>
    <x v="1"/>
    <n v="22"/>
  </r>
  <r>
    <s v="Cashier"/>
    <s v="Store"/>
    <d v="2021-09-08T00:00:00"/>
    <x v="109"/>
    <x v="1"/>
    <x v="0"/>
    <n v="70"/>
    <x v="1"/>
    <n v="31"/>
  </r>
  <r>
    <s v="Maintenance"/>
    <s v="Backoffice"/>
    <d v="2021-09-25T00:00:00"/>
    <x v="110"/>
    <x v="0"/>
    <x v="1"/>
    <n v="54"/>
    <x v="1"/>
    <n v="22"/>
  </r>
  <r>
    <s v="Stockroom"/>
    <s v="Store"/>
    <d v="2021-10-28T00:00:00"/>
    <x v="111"/>
    <x v="0"/>
    <x v="3"/>
    <n v="57"/>
    <x v="1"/>
    <n v="21"/>
  </r>
  <r>
    <s v="Stockroom"/>
    <s v="Store"/>
    <d v="2021-10-07T00:00:00"/>
    <x v="112"/>
    <x v="0"/>
    <x v="1"/>
    <n v="52"/>
    <x v="1"/>
    <n v="43"/>
  </r>
  <r>
    <s v="Cashier"/>
    <s v="Store"/>
    <d v="2021-10-28T00:00:00"/>
    <x v="113"/>
    <x v="0"/>
    <x v="1"/>
    <n v="71"/>
    <x v="1"/>
    <n v="29"/>
  </r>
  <r>
    <s v="Cashier"/>
    <s v="Store"/>
    <d v="2021-11-21T00:00:00"/>
    <x v="114"/>
    <x v="1"/>
    <x v="0"/>
    <n v="65"/>
    <x v="1"/>
    <n v="8"/>
  </r>
  <r>
    <s v="Stockroom"/>
    <s v="Store"/>
    <d v="2021-10-23T00:00:00"/>
    <x v="115"/>
    <x v="1"/>
    <x v="3"/>
    <n v="49"/>
    <x v="1"/>
    <n v="44"/>
  </r>
  <r>
    <s v="Cashier"/>
    <s v="Store"/>
    <d v="2021-11-23T00:00:00"/>
    <x v="116"/>
    <x v="0"/>
    <x v="2"/>
    <n v="70"/>
    <x v="1"/>
    <n v="27"/>
  </r>
  <r>
    <s v="Stockroom"/>
    <s v="Store"/>
    <d v="2021-11-18T00:00:00"/>
    <x v="117"/>
    <x v="0"/>
    <x v="2"/>
    <n v="54"/>
    <x v="1"/>
    <n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FD7512-4C48-4CB3-8D85-1FAB8DFAB7C5}" name="PivotTable3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R12:S18" firstHeaderRow="1" firstDataRow="1" firstDataCol="1" rowPageCount="1" colPageCount="1"/>
  <pivotFields count="11">
    <pivotField dataField="1" showAll="0"/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6">
        <item x="4"/>
        <item x="1"/>
        <item x="2"/>
        <item x="3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7" item="1" hier="-1"/>
  </pageFields>
  <dataFields count="1">
    <dataField name="Count of Job" fld="0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09780E-672C-4316-9E8C-F06A796DDDC4}" name="PivotTable3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R5:S8" firstHeaderRow="1" firstDataRow="1" firstDataCol="1" rowPageCount="1" colPageCount="1"/>
  <pivotFields count="11">
    <pivotField dataField="1" showAll="0"/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3">
        <item x="1"/>
        <item x="0"/>
        <item t="default"/>
      </items>
    </pivotField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pageFields count="1">
    <pageField fld="7" item="1" hier="-1"/>
  </pageFields>
  <dataFields count="1">
    <dataField name="Count of Job"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7C68EF-FD4D-4903-B4EB-14B5E2F0789F}" name="PivotTable39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O21:P27" firstHeaderRow="1" firstDataRow="1" firstDataCol="1"/>
  <pivotFields count="11">
    <pivotField showAll="0"/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dataField="1"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3">
    <field x="10"/>
    <field x="9"/>
    <field x="3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Days" fld="8" subtotal="average" baseField="10" baseItem="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71E6F5-F1BB-4D6B-9533-1139473A5AB6}" name="PivotTable3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I19:J27" firstHeaderRow="1" firstDataRow="1" firstDataCol="1" rowPageCount="1" colPageCount="1"/>
  <pivotFields count="7">
    <pivotField dataField="1" showAll="0"/>
    <pivotField numFmtId="14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sortType="descending">
      <items count="10">
        <item x="0"/>
        <item x="1"/>
        <item x="3"/>
        <item x="4"/>
        <item x="8"/>
        <item x="7"/>
        <item h="1" x="2"/>
        <item x="6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showAll="0" defaultSubtotal="0">
      <items count="2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</items>
    </pivotField>
  </pivotFields>
  <rowFields count="1">
    <field x="3"/>
  </rowFields>
  <rowItems count="8">
    <i>
      <x v="1"/>
    </i>
    <i>
      <x v="2"/>
    </i>
    <i>
      <x v="3"/>
    </i>
    <i>
      <x v="8"/>
    </i>
    <i>
      <x v="7"/>
    </i>
    <i>
      <x v="5"/>
    </i>
    <i>
      <x v="4"/>
    </i>
    <i t="grand">
      <x/>
    </i>
  </rowItems>
  <colItems count="1">
    <i/>
  </colItems>
  <pageFields count="1">
    <pageField fld="6" item="19" hier="-1"/>
  </pageFields>
  <dataFields count="1">
    <dataField name="Count of EmployeeID" fld="0" subtotal="count" baseField="0" baseItem="294325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9B581-D7A4-4120-88AA-87EE9811DB24}" name="PivotTable3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D19:E25" firstHeaderRow="1" firstDataRow="1" firstDataCol="1" rowPageCount="1" colPageCount="1"/>
  <pivotFields count="7">
    <pivotField dataField="1" showAll="0"/>
    <pivotField numFmtId="14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23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h="1" sd="0" x="14"/>
        <item sd="0" x="15"/>
        <item sd="0" x="16"/>
        <item sd="0" x="17"/>
        <item sd="0" x="18"/>
        <item sd="0" x="19"/>
        <item h="1" sd="0" x="20"/>
        <item h="1" sd="0" x="21"/>
        <item t="default"/>
      </items>
    </pivotField>
  </pivotFields>
  <rowFields count="3">
    <field x="6"/>
    <field x="5"/>
    <field x="2"/>
  </rowFields>
  <rowItems count="6"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1">
    <pageField fld="4" item="1" hier="-1"/>
  </pageFields>
  <dataFields count="1">
    <dataField name="Count of EmployeeID" fld="0" subtotal="count" baseField="6" baseItem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158248-935E-40C4-B072-6281CE2A1C51}" name="tblCosts" displayName="tblCosts" ref="A1:I10" totalsRowShown="0" dataDxfId="15" dataCellStyle="Comma">
  <autoFilter ref="A1:I10" xr:uid="{0CD5D441-8FB6-4C85-A8E6-886150FE6932}"/>
  <tableColumns count="9">
    <tableColumn id="1" xr3:uid="{D8691417-6D05-46A1-AEE2-6993D774EC24}" name="Year"/>
    <tableColumn id="2" xr3:uid="{50CE87A4-9AFD-4AE0-98CD-94B93BC63484}" name="Recruiter Salary" dataDxfId="14" dataCellStyle="Comma"/>
    <tableColumn id="3" xr3:uid="{D59FB2C8-8A9A-49DE-BAF5-88DB5D2672C8}" name="Recruiter Fees" dataDxfId="13" dataCellStyle="Comma"/>
    <tableColumn id="4" xr3:uid="{C1C0DFEC-BB04-491D-A83D-E024DE39BE65}" name="Other" dataDxfId="12" dataCellStyle="Comma"/>
    <tableColumn id="5" xr3:uid="{01785870-0165-4EC5-A2E9-EDC24F65163C}" name="Total" dataDxfId="11" dataCellStyle="Comma">
      <calculatedColumnFormula>SUM(tblCosts[[#This Row],[Recruiter Salary]:[Other]])</calculatedColumnFormula>
    </tableColumn>
    <tableColumn id="6" xr3:uid="{83090601-32BA-45F4-A1E4-30AC5341C0DB}" name="Applicants" dataDxfId="10" dataCellStyle="Comma">
      <calculatedColumnFormula array="1">SUMPRODUCT((YEAR(tblVacancy[Filled])=tblCosts[[#This Row],[Year]])*(tblVacancy[Applicants]))</calculatedColumnFormula>
    </tableColumn>
    <tableColumn id="7" xr3:uid="{DEDDA1E7-CA1C-4477-91D9-55F737114F06}" name="Success" dataDxfId="9" dataCellStyle="Comma">
      <calculatedColumnFormula array="1">SUMPRODUCT(--(YEAR(tblVacancy[Filled])=tblCosts[[#This Row],[Year]]))</calculatedColumnFormula>
    </tableColumn>
    <tableColumn id="8" xr3:uid="{F7AFF13E-922F-4983-BE20-34B88150222E}" name="Cost per Applicant" dataDxfId="8" dataCellStyle="Comma">
      <calculatedColumnFormula>tblCosts[[#This Row],[Total]]/tblCosts[[#This Row],[Applicants]]</calculatedColumnFormula>
    </tableColumn>
    <tableColumn id="9" xr3:uid="{A48004FC-DCD7-4E76-A63F-31699075B08C}" name="Cost per Success" dataDxfId="7" dataCellStyle="Comma">
      <calculatedColumnFormula>tblCosts[[#This Row],[Total]]/tblCosts[[#This Row],[Success]]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E89739-0AC6-49E0-8D5D-32884856A338}" name="tblEmployee" displayName="tblEmployee" ref="A1:E1582" totalsRowShown="0">
  <autoFilter ref="A1:E1582" xr:uid="{04ECB82A-4029-4358-9F5C-29FEB8040E6B}"/>
  <tableColumns count="5">
    <tableColumn id="1" xr3:uid="{E434B8E8-9F44-4E1E-84AE-55B32B07AC9E}" name="EmployeeID"/>
    <tableColumn id="2" xr3:uid="{EEE43710-B4C4-4328-9520-B6A31E1A070B}" name="StartDate" dataDxfId="6"/>
    <tableColumn id="3" xr3:uid="{5AFFF52D-C3D1-487C-BF7E-2C37176DF4F3}" name="EndDate" dataDxfId="5"/>
    <tableColumn id="4" xr3:uid="{582D8097-4FED-49BE-AA86-EF3A4CC961CB}" name="Reason"/>
    <tableColumn id="5" xr3:uid="{2418A9A1-3D10-4297-9D82-A90D1C245957}" name="90Days" dataDxfId="4">
      <calculatedColumnFormula>NOT(OR(ISBLANK(tblEmployee[[#This Row],[EndDate]]),tblEmployee[[#This Row],[EndDate]]-tblEmployee[[#This Row],[StartDate]]&gt;90))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9A02EF-58F8-4CEE-A56F-693B840D68FB}" name="tblVacancy" displayName="tblVacancy" ref="A1:I133" totalsRowShown="0">
  <autoFilter ref="A1:I133" xr:uid="{E411C386-182E-44D7-B31A-3F0B62A94D3D}"/>
  <tableColumns count="9">
    <tableColumn id="1" xr3:uid="{9BA45B8E-265B-4F8C-A059-A61A31BB66BC}" name="Job"/>
    <tableColumn id="2" xr3:uid="{34699491-756E-42DC-950B-BFBC040644B9}" name="Department"/>
    <tableColumn id="3" xr3:uid="{0A6B4973-096D-4A3C-8B11-BA0C7DD1B34D}" name="Vacant" dataDxfId="3"/>
    <tableColumn id="4" xr3:uid="{4BB2616A-4CEC-43B1-963E-4C9BE0FEB4F8}" name="Filled" dataDxfId="2"/>
    <tableColumn id="5" xr3:uid="{01A41C7D-266A-4665-A111-93D61BE0A2B1}" name="Gender"/>
    <tableColumn id="6" xr3:uid="{5B5E703E-CE06-400F-BAA2-CB1380D5F069}" name="Race"/>
    <tableColumn id="7" xr3:uid="{09BB6C79-5494-4624-A93A-F554C0EEF359}" name="Applicants"/>
    <tableColumn id="8" xr3:uid="{AA59E53B-707C-4624-90A4-94F243355E56}" name="CurrentYear" dataDxfId="1">
      <calculatedColumnFormula array="1">YEAR(tblVacancy[[#This Row],[Filled]])=MAX(YEAR(tblVacancy[Filled]))</calculatedColumnFormula>
    </tableColumn>
    <tableColumn id="9" xr3:uid="{DE5E3439-163A-4ADD-A29A-858D27617B90}" name="Days" dataDxfId="0">
      <calculatedColumnFormula>tblVacancy[[#This Row],[Filled]]-tblVacancy[[#This Row],[Vacant]]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Ion">
      <a:dk1>
        <a:sysClr val="windowText" lastClr="000000"/>
      </a:dk1>
      <a:lt1>
        <a:sysClr val="window" lastClr="FFFFFF"/>
      </a:lt1>
      <a:dk2>
        <a:srgbClr val="1E5155"/>
      </a:dk2>
      <a:lt2>
        <a:srgbClr val="EBEBEB"/>
      </a:lt2>
      <a:accent1>
        <a:srgbClr val="B01513"/>
      </a:accent1>
      <a:accent2>
        <a:srgbClr val="EA6312"/>
      </a:accent2>
      <a:accent3>
        <a:srgbClr val="E6B729"/>
      </a:accent3>
      <a:accent4>
        <a:srgbClr val="6AAC90"/>
      </a:accent4>
      <a:accent5>
        <a:srgbClr val="54849A"/>
      </a:accent5>
      <a:accent6>
        <a:srgbClr val="9E5E9B"/>
      </a:accent6>
      <a:hlink>
        <a:srgbClr val="58C1BA"/>
      </a:hlink>
      <a:folHlink>
        <a:srgbClr val="9DFFCB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874B9-DDA1-4C46-BB3A-96F7170EFEB5}">
  <sheetPr codeName="Sheet1"/>
  <dimension ref="D3:S27"/>
  <sheetViews>
    <sheetView showGridLines="0" topLeftCell="A4" zoomScaleNormal="100" workbookViewId="0">
      <selection activeCell="Y20" sqref="Y20"/>
    </sheetView>
  </sheetViews>
  <sheetFormatPr defaultRowHeight="15" x14ac:dyDescent="0.3"/>
  <cols>
    <col min="4" max="4" width="13.125" bestFit="1" customWidth="1"/>
    <col min="5" max="5" width="20.625" bestFit="1" customWidth="1"/>
    <col min="9" max="9" width="21.25" bestFit="1" customWidth="1"/>
    <col min="10" max="10" width="20.625" bestFit="1" customWidth="1"/>
    <col min="14" max="14" width="0" hidden="1" customWidth="1"/>
    <col min="15" max="15" width="13.125" hidden="1" customWidth="1"/>
    <col min="16" max="16" width="16.25" hidden="1" customWidth="1"/>
    <col min="17" max="17" width="0" hidden="1" customWidth="1"/>
    <col min="18" max="18" width="13.125" hidden="1" customWidth="1"/>
    <col min="19" max="19" width="12.5" hidden="1" customWidth="1"/>
    <col min="20" max="21" width="0" hidden="1" customWidth="1"/>
  </cols>
  <sheetData>
    <row r="3" spans="18:19" x14ac:dyDescent="0.3">
      <c r="R3" s="2" t="s">
        <v>60</v>
      </c>
      <c r="S3" t="s">
        <v>22</v>
      </c>
    </row>
    <row r="5" spans="18:19" x14ac:dyDescent="0.3">
      <c r="R5" s="2" t="s">
        <v>15</v>
      </c>
      <c r="S5" t="s">
        <v>52</v>
      </c>
    </row>
    <row r="6" spans="18:19" x14ac:dyDescent="0.3">
      <c r="R6" s="3" t="s">
        <v>6</v>
      </c>
      <c r="S6">
        <v>10</v>
      </c>
    </row>
    <row r="7" spans="18:19" x14ac:dyDescent="0.3">
      <c r="R7" s="3" t="s">
        <v>5</v>
      </c>
      <c r="S7">
        <v>19</v>
      </c>
    </row>
    <row r="8" spans="18:19" x14ac:dyDescent="0.3">
      <c r="R8" s="3" t="s">
        <v>16</v>
      </c>
      <c r="S8">
        <v>29</v>
      </c>
    </row>
    <row r="10" spans="18:19" x14ac:dyDescent="0.3">
      <c r="R10" s="2" t="s">
        <v>60</v>
      </c>
      <c r="S10" t="s">
        <v>22</v>
      </c>
    </row>
    <row r="12" spans="18:19" x14ac:dyDescent="0.3">
      <c r="R12" s="2" t="s">
        <v>15</v>
      </c>
      <c r="S12" t="s">
        <v>52</v>
      </c>
    </row>
    <row r="13" spans="18:19" x14ac:dyDescent="0.3">
      <c r="R13" s="3" t="s">
        <v>9</v>
      </c>
      <c r="S13">
        <v>2</v>
      </c>
    </row>
    <row r="14" spans="18:19" x14ac:dyDescent="0.3">
      <c r="R14" s="3" t="s">
        <v>8</v>
      </c>
      <c r="S14">
        <v>5</v>
      </c>
    </row>
    <row r="15" spans="18:19" x14ac:dyDescent="0.3">
      <c r="R15" s="3" t="s">
        <v>10</v>
      </c>
      <c r="S15">
        <v>4</v>
      </c>
    </row>
    <row r="16" spans="18:19" x14ac:dyDescent="0.3">
      <c r="R16" s="3" t="s">
        <v>11</v>
      </c>
      <c r="S16">
        <v>2</v>
      </c>
    </row>
    <row r="17" spans="4:19" x14ac:dyDescent="0.3">
      <c r="D17" s="2" t="s">
        <v>61</v>
      </c>
      <c r="E17" t="s">
        <v>22</v>
      </c>
      <c r="I17" s="2" t="s">
        <v>62</v>
      </c>
      <c r="J17" t="s">
        <v>55</v>
      </c>
      <c r="R17" s="3" t="s">
        <v>7</v>
      </c>
      <c r="S17">
        <v>16</v>
      </c>
    </row>
    <row r="18" spans="4:19" x14ac:dyDescent="0.3">
      <c r="R18" s="3" t="s">
        <v>16</v>
      </c>
      <c r="S18">
        <v>29</v>
      </c>
    </row>
    <row r="19" spans="4:19" x14ac:dyDescent="0.3">
      <c r="D19" s="2" t="s">
        <v>15</v>
      </c>
      <c r="E19" t="s">
        <v>21</v>
      </c>
      <c r="I19" s="2" t="s">
        <v>15</v>
      </c>
      <c r="J19" t="s">
        <v>21</v>
      </c>
    </row>
    <row r="20" spans="4:19" x14ac:dyDescent="0.3">
      <c r="D20" s="3" t="s">
        <v>17</v>
      </c>
      <c r="E20">
        <v>1</v>
      </c>
      <c r="I20" s="3" t="s">
        <v>25</v>
      </c>
      <c r="J20">
        <v>17</v>
      </c>
    </row>
    <row r="21" spans="4:19" x14ac:dyDescent="0.3">
      <c r="D21" s="3" t="s">
        <v>18</v>
      </c>
      <c r="E21">
        <v>1</v>
      </c>
      <c r="I21" s="3" t="s">
        <v>27</v>
      </c>
      <c r="J21">
        <v>9</v>
      </c>
      <c r="O21" s="2" t="s">
        <v>15</v>
      </c>
      <c r="P21" t="s">
        <v>63</v>
      </c>
    </row>
    <row r="22" spans="4:19" x14ac:dyDescent="0.3">
      <c r="D22" s="3" t="s">
        <v>19</v>
      </c>
      <c r="E22">
        <v>4</v>
      </c>
      <c r="I22" s="3" t="s">
        <v>30</v>
      </c>
      <c r="J22">
        <v>9</v>
      </c>
      <c r="O22" s="3" t="s">
        <v>17</v>
      </c>
      <c r="P22">
        <v>29.684210526315791</v>
      </c>
    </row>
    <row r="23" spans="4:19" x14ac:dyDescent="0.3">
      <c r="D23" s="3" t="s">
        <v>20</v>
      </c>
      <c r="E23">
        <v>1</v>
      </c>
      <c r="I23" s="3" t="s">
        <v>26</v>
      </c>
      <c r="J23">
        <v>8</v>
      </c>
      <c r="O23" s="3" t="s">
        <v>18</v>
      </c>
      <c r="P23">
        <v>26.666666666666668</v>
      </c>
    </row>
    <row r="24" spans="4:19" x14ac:dyDescent="0.3">
      <c r="D24" s="3" t="s">
        <v>55</v>
      </c>
      <c r="E24">
        <v>10</v>
      </c>
      <c r="I24" s="3" t="s">
        <v>28</v>
      </c>
      <c r="J24">
        <v>5</v>
      </c>
      <c r="O24" s="3" t="s">
        <v>19</v>
      </c>
      <c r="P24">
        <v>30</v>
      </c>
    </row>
    <row r="25" spans="4:19" x14ac:dyDescent="0.3">
      <c r="D25" s="3" t="s">
        <v>16</v>
      </c>
      <c r="E25">
        <v>17</v>
      </c>
      <c r="I25" s="3" t="s">
        <v>31</v>
      </c>
      <c r="J25">
        <v>4</v>
      </c>
      <c r="O25" s="3" t="s">
        <v>20</v>
      </c>
      <c r="P25">
        <v>28.875</v>
      </c>
    </row>
    <row r="26" spans="4:19" x14ac:dyDescent="0.3">
      <c r="I26" s="3" t="s">
        <v>29</v>
      </c>
      <c r="J26">
        <v>3</v>
      </c>
      <c r="O26" s="3" t="s">
        <v>55</v>
      </c>
      <c r="P26">
        <v>30.758620689655171</v>
      </c>
    </row>
    <row r="27" spans="4:19" x14ac:dyDescent="0.3">
      <c r="I27" s="3" t="s">
        <v>16</v>
      </c>
      <c r="J27">
        <v>55</v>
      </c>
      <c r="O27" s="3" t="s">
        <v>16</v>
      </c>
      <c r="P27">
        <v>29.408333333333335</v>
      </c>
    </row>
  </sheetData>
  <phoneticPr fontId="2" type="noConversion"/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DED40-AEFB-4C76-9DF0-695B78AA0E50}">
  <sheetPr codeName="Sheet2"/>
  <dimension ref="A1:I10"/>
  <sheetViews>
    <sheetView workbookViewId="0">
      <selection activeCell="K15" sqref="K15"/>
    </sheetView>
  </sheetViews>
  <sheetFormatPr defaultRowHeight="15" x14ac:dyDescent="0.3"/>
  <cols>
    <col min="2" max="2" width="16.875" customWidth="1"/>
    <col min="3" max="3" width="15.75" customWidth="1"/>
    <col min="4" max="4" width="10.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11</v>
      </c>
      <c r="E1" t="s">
        <v>57</v>
      </c>
      <c r="F1" t="s">
        <v>3</v>
      </c>
      <c r="G1" t="s">
        <v>4</v>
      </c>
      <c r="H1" t="s">
        <v>58</v>
      </c>
      <c r="I1" t="s">
        <v>59</v>
      </c>
    </row>
    <row r="2" spans="1:9" x14ac:dyDescent="0.3">
      <c r="A2">
        <v>2017</v>
      </c>
      <c r="B2" s="5">
        <v>78500</v>
      </c>
      <c r="C2" s="5">
        <v>109250</v>
      </c>
      <c r="D2" s="5">
        <v>24003</v>
      </c>
      <c r="E2" s="5">
        <f>SUM(tblCosts[[#This Row],[Recruiter Salary]:[Other]])</f>
        <v>211753</v>
      </c>
      <c r="F2" s="5" cm="1">
        <f t="array" ref="F2">SUMPRODUCT((YEAR(tblVacancy[Filled])=tblCosts[[#This Row],[Year]])*(tblVacancy[Applicants]))</f>
        <v>1153</v>
      </c>
      <c r="G2" s="5" cm="1">
        <f t="array" ref="G2">SUMPRODUCT(--(YEAR(tblVacancy[Filled])=tblCosts[[#This Row],[Year]]))</f>
        <v>19</v>
      </c>
      <c r="H2" s="5">
        <f>tblCosts[[#This Row],[Total]]/tblCosts[[#This Row],[Applicants]]</f>
        <v>183.65394622723329</v>
      </c>
      <c r="I2" s="5">
        <f>tblCosts[[#This Row],[Total]]/tblCosts[[#This Row],[Success]]</f>
        <v>11144.894736842105</v>
      </c>
    </row>
    <row r="3" spans="1:9" x14ac:dyDescent="0.3">
      <c r="A3">
        <v>2018</v>
      </c>
      <c r="B3" s="5">
        <v>70542</v>
      </c>
      <c r="C3" s="5">
        <v>99900</v>
      </c>
      <c r="D3" s="5">
        <v>17503</v>
      </c>
      <c r="E3" s="5">
        <f>SUM(tblCosts[[#This Row],[Recruiter Salary]:[Other]])</f>
        <v>187945</v>
      </c>
      <c r="F3" s="5" cm="1">
        <f t="array" ref="F3">SUMPRODUCT((YEAR(tblVacancy[Filled])=tblCosts[[#This Row],[Year]])*(tblVacancy[Applicants]))</f>
        <v>911</v>
      </c>
      <c r="G3" s="5" cm="1">
        <f t="array" ref="G3">SUMPRODUCT(--(YEAR(tblVacancy[Filled])=tblCosts[[#This Row],[Year]]))</f>
        <v>18</v>
      </c>
      <c r="H3" s="5">
        <f>tblCosts[[#This Row],[Total]]/tblCosts[[#This Row],[Applicants]]</f>
        <v>206.30625686059275</v>
      </c>
      <c r="I3" s="5">
        <f>tblCosts[[#This Row],[Total]]/tblCosts[[#This Row],[Success]]</f>
        <v>10441.388888888889</v>
      </c>
    </row>
    <row r="4" spans="1:9" x14ac:dyDescent="0.3">
      <c r="A4">
        <v>2019</v>
      </c>
      <c r="B4" s="5">
        <v>72271</v>
      </c>
      <c r="C4" s="5">
        <v>183000</v>
      </c>
      <c r="D4" s="5">
        <v>13615</v>
      </c>
      <c r="E4" s="5">
        <f>SUM(tblCosts[[#This Row],[Recruiter Salary]:[Other]])</f>
        <v>268886</v>
      </c>
      <c r="F4" s="5" cm="1">
        <f t="array" ref="F4">SUMPRODUCT((YEAR(tblVacancy[Filled])=tblCosts[[#This Row],[Year]])*(tblVacancy[Applicants]))</f>
        <v>1694</v>
      </c>
      <c r="G4" s="5" cm="1">
        <f t="array" ref="G4">SUMPRODUCT(--(YEAR(tblVacancy[Filled])=tblCosts[[#This Row],[Year]]))</f>
        <v>30</v>
      </c>
      <c r="H4" s="5">
        <f>tblCosts[[#This Row],[Total]]/tblCosts[[#This Row],[Applicants]]</f>
        <v>158.728453364817</v>
      </c>
      <c r="I4" s="5">
        <f>tblCosts[[#This Row],[Total]]/tblCosts[[#This Row],[Success]]</f>
        <v>8962.8666666666668</v>
      </c>
    </row>
    <row r="5" spans="1:9" x14ac:dyDescent="0.3">
      <c r="A5">
        <v>2020</v>
      </c>
      <c r="B5" s="5">
        <v>70825</v>
      </c>
      <c r="C5" s="5">
        <v>94800</v>
      </c>
      <c r="D5" s="5">
        <v>33228</v>
      </c>
      <c r="E5" s="5">
        <f>SUM(tblCosts[[#This Row],[Recruiter Salary]:[Other]])</f>
        <v>198853</v>
      </c>
      <c r="F5" s="5" cm="1">
        <f t="array" ref="F5">SUMPRODUCT((YEAR(tblVacancy[Filled])=tblCosts[[#This Row],[Year]])*(tblVacancy[Applicants]))</f>
        <v>1383</v>
      </c>
      <c r="G5" s="5" cm="1">
        <f t="array" ref="G5">SUMPRODUCT(--(YEAR(tblVacancy[Filled])=tblCosts[[#This Row],[Year]]))</f>
        <v>24</v>
      </c>
      <c r="H5" s="5">
        <f>tblCosts[[#This Row],[Total]]/tblCosts[[#This Row],[Applicants]]</f>
        <v>143.78380332610269</v>
      </c>
      <c r="I5" s="5">
        <f>tblCosts[[#This Row],[Total]]/tblCosts[[#This Row],[Success]]</f>
        <v>8285.5416666666661</v>
      </c>
    </row>
    <row r="6" spans="1:9" x14ac:dyDescent="0.3">
      <c r="A6">
        <v>2021</v>
      </c>
      <c r="B6" s="5">
        <v>78201</v>
      </c>
      <c r="C6" s="5">
        <v>143550</v>
      </c>
      <c r="D6" s="5">
        <v>28938</v>
      </c>
      <c r="E6" s="5">
        <f>SUM(tblCosts[[#This Row],[Recruiter Salary]:[Other]])</f>
        <v>250689</v>
      </c>
      <c r="F6" s="5" cm="1">
        <f t="array" ref="F6">SUMPRODUCT((YEAR(tblVacancy[Filled])=tblCosts[[#This Row],[Year]])*(tblVacancy[Applicants]))</f>
        <v>1690</v>
      </c>
      <c r="G6" s="5" cm="1">
        <f t="array" ref="G6">SUMPRODUCT(--(YEAR(tblVacancy[Filled])=tblCosts[[#This Row],[Year]]))</f>
        <v>29</v>
      </c>
      <c r="H6" s="5">
        <f>tblCosts[[#This Row],[Total]]/tblCosts[[#This Row],[Applicants]]</f>
        <v>148.33668639053255</v>
      </c>
      <c r="I6" s="5">
        <f>tblCosts[[#This Row],[Total]]/tblCosts[[#This Row],[Success]]</f>
        <v>8644.4482758620688</v>
      </c>
    </row>
    <row r="7" spans="1:9" x14ac:dyDescent="0.3">
      <c r="A7">
        <v>2022</v>
      </c>
      <c r="B7" s="5">
        <v>79695.666666666701</v>
      </c>
      <c r="C7" s="5">
        <v>101000</v>
      </c>
      <c r="D7" s="5">
        <v>40583.333333333299</v>
      </c>
      <c r="E7" s="5">
        <f>SUM(tblCosts[[#This Row],[Recruiter Salary]:[Other]])</f>
        <v>221279</v>
      </c>
      <c r="F7" s="5">
        <v>911</v>
      </c>
      <c r="G7" s="5">
        <v>18</v>
      </c>
      <c r="H7" s="5">
        <v>206.30625686059275</v>
      </c>
      <c r="I7" s="5">
        <v>10441.388888888889</v>
      </c>
    </row>
    <row r="8" spans="1:9" x14ac:dyDescent="0.3">
      <c r="A8">
        <v>2023</v>
      </c>
      <c r="B8" s="5">
        <v>82660.666666666701</v>
      </c>
      <c r="C8" s="5">
        <v>81275</v>
      </c>
      <c r="D8" s="5">
        <v>48244.833333333299</v>
      </c>
      <c r="E8" s="5">
        <f>SUM(tblCosts[[#This Row],[Recruiter Salary]:[Other]])</f>
        <v>212180.5</v>
      </c>
      <c r="F8" s="5">
        <v>1694</v>
      </c>
      <c r="G8" s="5">
        <v>30</v>
      </c>
      <c r="H8" s="5">
        <v>158.728453364817</v>
      </c>
      <c r="I8" s="5">
        <v>8962.8666666666668</v>
      </c>
    </row>
    <row r="9" spans="1:9" x14ac:dyDescent="0.3">
      <c r="A9">
        <v>2024</v>
      </c>
      <c r="B9" s="5">
        <v>85625.666666666701</v>
      </c>
      <c r="C9" s="5">
        <v>61550</v>
      </c>
      <c r="D9" s="5">
        <v>55906.333333333299</v>
      </c>
      <c r="E9" s="5">
        <f>SUM(tblCosts[[#This Row],[Recruiter Salary]:[Other]])</f>
        <v>203082</v>
      </c>
      <c r="F9" s="5">
        <v>1383</v>
      </c>
      <c r="G9" s="5">
        <v>24</v>
      </c>
      <c r="H9" s="5">
        <v>143.78380332610269</v>
      </c>
      <c r="I9" s="5">
        <v>8285.5416666666661</v>
      </c>
    </row>
    <row r="10" spans="1:9" x14ac:dyDescent="0.3">
      <c r="A10">
        <v>2025</v>
      </c>
      <c r="B10" s="5">
        <v>88590.666666666701</v>
      </c>
      <c r="C10" s="5">
        <v>41825</v>
      </c>
      <c r="D10" s="5">
        <v>63567.833333333299</v>
      </c>
      <c r="E10" s="5">
        <f>SUM(tblCosts[[#This Row],[Recruiter Salary]:[Other]])</f>
        <v>193983.5</v>
      </c>
      <c r="F10" s="5">
        <v>1690</v>
      </c>
      <c r="G10" s="5">
        <v>29</v>
      </c>
      <c r="H10" s="5">
        <v>148.33668639053255</v>
      </c>
      <c r="I10" s="5">
        <v>8644.4482758620688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B1651-32E9-48BF-944E-42232B9C4E72}">
  <sheetPr codeName="Sheet3"/>
  <dimension ref="A1:G1582"/>
  <sheetViews>
    <sheetView workbookViewId="0">
      <selection activeCell="H11" sqref="H11"/>
    </sheetView>
  </sheetViews>
  <sheetFormatPr defaultRowHeight="15" x14ac:dyDescent="0.3"/>
  <cols>
    <col min="1" max="1" width="14" customWidth="1"/>
    <col min="2" max="2" width="11" customWidth="1"/>
    <col min="3" max="3" width="10.625" customWidth="1"/>
    <col min="4" max="4" width="22" customWidth="1"/>
  </cols>
  <sheetData>
    <row r="1" spans="1:5" x14ac:dyDescent="0.3">
      <c r="A1" t="s">
        <v>12</v>
      </c>
      <c r="B1" t="s">
        <v>13</v>
      </c>
      <c r="C1" t="s">
        <v>14</v>
      </c>
      <c r="D1" t="s">
        <v>24</v>
      </c>
      <c r="E1" t="s">
        <v>61</v>
      </c>
    </row>
    <row r="2" spans="1:5" x14ac:dyDescent="0.3">
      <c r="A2">
        <v>1002</v>
      </c>
      <c r="B2" s="1">
        <v>44108</v>
      </c>
      <c r="C2" s="1"/>
      <c r="E2" t="b">
        <f>NOT(OR(ISBLANK(tblEmployee[[#This Row],[EndDate]]),tblEmployee[[#This Row],[EndDate]]-tblEmployee[[#This Row],[StartDate]]&gt;90))</f>
        <v>0</v>
      </c>
    </row>
    <row r="3" spans="1:5" x14ac:dyDescent="0.3">
      <c r="A3">
        <v>1021</v>
      </c>
      <c r="B3" s="1">
        <v>38227</v>
      </c>
      <c r="C3" s="1"/>
      <c r="E3" t="b">
        <f>NOT(OR(ISBLANK(tblEmployee[[#This Row],[EndDate]]),tblEmployee[[#This Row],[EndDate]]-tblEmployee[[#This Row],[StartDate]]&gt;90))</f>
        <v>0</v>
      </c>
    </row>
    <row r="4" spans="1:5" x14ac:dyDescent="0.3">
      <c r="A4">
        <v>1022</v>
      </c>
      <c r="B4" s="1">
        <v>43527</v>
      </c>
      <c r="C4" s="1"/>
      <c r="E4" t="b">
        <f>NOT(OR(ISBLANK(tblEmployee[[#This Row],[EndDate]]),tblEmployee[[#This Row],[EndDate]]-tblEmployee[[#This Row],[StartDate]]&gt;90))</f>
        <v>0</v>
      </c>
    </row>
    <row r="5" spans="1:5" x14ac:dyDescent="0.3">
      <c r="A5">
        <v>1024</v>
      </c>
      <c r="B5" s="1">
        <v>41899</v>
      </c>
      <c r="C5" s="1"/>
      <c r="E5" t="b">
        <f>NOT(OR(ISBLANK(tblEmployee[[#This Row],[EndDate]]),tblEmployee[[#This Row],[EndDate]]-tblEmployee[[#This Row],[StartDate]]&gt;90))</f>
        <v>0</v>
      </c>
    </row>
    <row r="6" spans="1:5" x14ac:dyDescent="0.3">
      <c r="A6">
        <v>1029</v>
      </c>
      <c r="B6" s="1">
        <v>42040</v>
      </c>
      <c r="C6" s="1"/>
      <c r="E6" t="b">
        <f>NOT(OR(ISBLANK(tblEmployee[[#This Row],[EndDate]]),tblEmployee[[#This Row],[EndDate]]-tblEmployee[[#This Row],[StartDate]]&gt;90))</f>
        <v>0</v>
      </c>
    </row>
    <row r="7" spans="1:5" x14ac:dyDescent="0.3">
      <c r="A7">
        <v>1034</v>
      </c>
      <c r="B7" s="1">
        <v>38333</v>
      </c>
      <c r="C7" s="1"/>
      <c r="E7" t="b">
        <f>NOT(OR(ISBLANK(tblEmployee[[#This Row],[EndDate]]),tblEmployee[[#This Row],[EndDate]]-tblEmployee[[#This Row],[StartDate]]&gt;90))</f>
        <v>0</v>
      </c>
    </row>
    <row r="8" spans="1:5" x14ac:dyDescent="0.3">
      <c r="A8">
        <v>1035</v>
      </c>
      <c r="B8" s="1">
        <v>37539</v>
      </c>
      <c r="C8" s="1"/>
      <c r="E8" t="b">
        <f>NOT(OR(ISBLANK(tblEmployee[[#This Row],[EndDate]]),tblEmployee[[#This Row],[EndDate]]-tblEmployee[[#This Row],[StartDate]]&gt;90))</f>
        <v>0</v>
      </c>
    </row>
    <row r="9" spans="1:5" x14ac:dyDescent="0.3">
      <c r="A9">
        <v>1036</v>
      </c>
      <c r="B9" s="1">
        <v>38986</v>
      </c>
      <c r="C9" s="1"/>
      <c r="E9" t="b">
        <f>NOT(OR(ISBLANK(tblEmployee[[#This Row],[EndDate]]),tblEmployee[[#This Row],[EndDate]]-tblEmployee[[#This Row],[StartDate]]&gt;90))</f>
        <v>0</v>
      </c>
    </row>
    <row r="10" spans="1:5" x14ac:dyDescent="0.3">
      <c r="A10">
        <v>1045</v>
      </c>
      <c r="B10" s="1">
        <v>38662</v>
      </c>
      <c r="C10" s="1"/>
      <c r="E10" t="b">
        <f>NOT(OR(ISBLANK(tblEmployee[[#This Row],[EndDate]]),tblEmployee[[#This Row],[EndDate]]-tblEmployee[[#This Row],[StartDate]]&gt;90))</f>
        <v>0</v>
      </c>
    </row>
    <row r="11" spans="1:5" x14ac:dyDescent="0.3">
      <c r="A11">
        <v>1070</v>
      </c>
      <c r="B11" s="1">
        <v>42562</v>
      </c>
      <c r="C11" s="1"/>
      <c r="E11" t="b">
        <f>NOT(OR(ISBLANK(tblEmployee[[#This Row],[EndDate]]),tblEmployee[[#This Row],[EndDate]]-tblEmployee[[#This Row],[StartDate]]&gt;90))</f>
        <v>0</v>
      </c>
    </row>
    <row r="12" spans="1:5" x14ac:dyDescent="0.3">
      <c r="A12">
        <v>1080</v>
      </c>
      <c r="B12" s="1">
        <v>43187</v>
      </c>
      <c r="C12" s="1"/>
      <c r="E12" t="b">
        <f>NOT(OR(ISBLANK(tblEmployee[[#This Row],[EndDate]]),tblEmployee[[#This Row],[EndDate]]-tblEmployee[[#This Row],[StartDate]]&gt;90))</f>
        <v>0</v>
      </c>
    </row>
    <row r="13" spans="1:5" x14ac:dyDescent="0.3">
      <c r="A13">
        <v>1084</v>
      </c>
      <c r="B13" s="1">
        <v>38901</v>
      </c>
      <c r="C13" s="1"/>
      <c r="E13" t="b">
        <f>NOT(OR(ISBLANK(tblEmployee[[#This Row],[EndDate]]),tblEmployee[[#This Row],[EndDate]]-tblEmployee[[#This Row],[StartDate]]&gt;90))</f>
        <v>0</v>
      </c>
    </row>
    <row r="14" spans="1:5" x14ac:dyDescent="0.3">
      <c r="A14">
        <v>1092</v>
      </c>
      <c r="B14" s="1">
        <v>38703</v>
      </c>
      <c r="C14" s="1">
        <v>44300</v>
      </c>
      <c r="D14" t="s">
        <v>25</v>
      </c>
      <c r="E14" t="b">
        <f>NOT(OR(ISBLANK(tblEmployee[[#This Row],[EndDate]]),tblEmployee[[#This Row],[EndDate]]-tblEmployee[[#This Row],[StartDate]]&gt;90))</f>
        <v>0</v>
      </c>
    </row>
    <row r="15" spans="1:5" x14ac:dyDescent="0.3">
      <c r="A15">
        <v>1115</v>
      </c>
      <c r="B15" s="1">
        <v>43903</v>
      </c>
      <c r="C15" s="1">
        <v>44271</v>
      </c>
      <c r="D15" t="s">
        <v>56</v>
      </c>
      <c r="E15" t="b">
        <f>NOT(OR(ISBLANK(tblEmployee[[#This Row],[EndDate]]),tblEmployee[[#This Row],[EndDate]]-tblEmployee[[#This Row],[StartDate]]&gt;90))</f>
        <v>0</v>
      </c>
    </row>
    <row r="16" spans="1:5" x14ac:dyDescent="0.3">
      <c r="A16">
        <v>1122</v>
      </c>
      <c r="B16" s="1">
        <v>42595</v>
      </c>
      <c r="C16" s="1"/>
      <c r="E16" t="b">
        <f>NOT(OR(ISBLANK(tblEmployee[[#This Row],[EndDate]]),tblEmployee[[#This Row],[EndDate]]-tblEmployee[[#This Row],[StartDate]]&gt;90))</f>
        <v>0</v>
      </c>
    </row>
    <row r="17" spans="1:5" x14ac:dyDescent="0.3">
      <c r="A17">
        <v>1127</v>
      </c>
      <c r="B17" s="1">
        <v>40229</v>
      </c>
      <c r="C17" s="1"/>
      <c r="E17" t="b">
        <f>NOT(OR(ISBLANK(tblEmployee[[#This Row],[EndDate]]),tblEmployee[[#This Row],[EndDate]]-tblEmployee[[#This Row],[StartDate]]&gt;90))</f>
        <v>0</v>
      </c>
    </row>
    <row r="18" spans="1:5" x14ac:dyDescent="0.3">
      <c r="A18">
        <v>1131</v>
      </c>
      <c r="B18" s="1">
        <v>42907</v>
      </c>
      <c r="C18" s="1"/>
      <c r="E18" t="b">
        <f>NOT(OR(ISBLANK(tblEmployee[[#This Row],[EndDate]]),tblEmployee[[#This Row],[EndDate]]-tblEmployee[[#This Row],[StartDate]]&gt;90))</f>
        <v>0</v>
      </c>
    </row>
    <row r="19" spans="1:5" x14ac:dyDescent="0.3">
      <c r="A19">
        <v>1140</v>
      </c>
      <c r="B19" s="1">
        <v>37438</v>
      </c>
      <c r="C19" s="1"/>
      <c r="E19" t="b">
        <f>NOT(OR(ISBLANK(tblEmployee[[#This Row],[EndDate]]),tblEmployee[[#This Row],[EndDate]]-tblEmployee[[#This Row],[StartDate]]&gt;90))</f>
        <v>0</v>
      </c>
    </row>
    <row r="20" spans="1:5" x14ac:dyDescent="0.3">
      <c r="A20">
        <v>1141</v>
      </c>
      <c r="B20" s="1">
        <v>44087</v>
      </c>
      <c r="C20" s="1"/>
      <c r="E20" t="b">
        <f>NOT(OR(ISBLANK(tblEmployee[[#This Row],[EndDate]]),tblEmployee[[#This Row],[EndDate]]-tblEmployee[[#This Row],[StartDate]]&gt;90))</f>
        <v>0</v>
      </c>
    </row>
    <row r="21" spans="1:5" x14ac:dyDescent="0.3">
      <c r="A21">
        <v>1145</v>
      </c>
      <c r="B21" s="1">
        <v>44195</v>
      </c>
      <c r="C21" s="1"/>
      <c r="E21" t="b">
        <f>NOT(OR(ISBLANK(tblEmployee[[#This Row],[EndDate]]),tblEmployee[[#This Row],[EndDate]]-tblEmployee[[#This Row],[StartDate]]&gt;90))</f>
        <v>0</v>
      </c>
    </row>
    <row r="22" spans="1:5" x14ac:dyDescent="0.3">
      <c r="A22">
        <v>1146</v>
      </c>
      <c r="B22" s="1">
        <v>38549</v>
      </c>
      <c r="C22" s="1"/>
      <c r="E22" t="b">
        <f>NOT(OR(ISBLANK(tblEmployee[[#This Row],[EndDate]]),tblEmployee[[#This Row],[EndDate]]-tblEmployee[[#This Row],[StartDate]]&gt;90))</f>
        <v>0</v>
      </c>
    </row>
    <row r="23" spans="1:5" x14ac:dyDescent="0.3">
      <c r="A23">
        <v>1152</v>
      </c>
      <c r="B23" s="1">
        <v>40139</v>
      </c>
      <c r="C23" s="1"/>
      <c r="E23" t="b">
        <f>NOT(OR(ISBLANK(tblEmployee[[#This Row],[EndDate]]),tblEmployee[[#This Row],[EndDate]]-tblEmployee[[#This Row],[StartDate]]&gt;90))</f>
        <v>0</v>
      </c>
    </row>
    <row r="24" spans="1:5" x14ac:dyDescent="0.3">
      <c r="A24">
        <v>1159</v>
      </c>
      <c r="B24" s="1">
        <v>39753</v>
      </c>
      <c r="C24" s="1"/>
      <c r="E24" t="b">
        <f>NOT(OR(ISBLANK(tblEmployee[[#This Row],[EndDate]]),tblEmployee[[#This Row],[EndDate]]-tblEmployee[[#This Row],[StartDate]]&gt;90))</f>
        <v>0</v>
      </c>
    </row>
    <row r="25" spans="1:5" x14ac:dyDescent="0.3">
      <c r="A25">
        <v>1168</v>
      </c>
      <c r="B25" s="1">
        <v>40383</v>
      </c>
      <c r="C25" s="1">
        <v>40708</v>
      </c>
      <c r="D25" t="s">
        <v>27</v>
      </c>
      <c r="E25" t="b">
        <f>NOT(OR(ISBLANK(tblEmployee[[#This Row],[EndDate]]),tblEmployee[[#This Row],[EndDate]]-tblEmployee[[#This Row],[StartDate]]&gt;90))</f>
        <v>0</v>
      </c>
    </row>
    <row r="26" spans="1:5" x14ac:dyDescent="0.3">
      <c r="A26">
        <v>1169</v>
      </c>
      <c r="B26" s="1">
        <v>40805</v>
      </c>
      <c r="C26" s="1">
        <v>43731</v>
      </c>
      <c r="D26" t="s">
        <v>27</v>
      </c>
      <c r="E26" t="b">
        <f>NOT(OR(ISBLANK(tblEmployee[[#This Row],[EndDate]]),tblEmployee[[#This Row],[EndDate]]-tblEmployee[[#This Row],[StartDate]]&gt;90))</f>
        <v>0</v>
      </c>
    </row>
    <row r="27" spans="1:5" x14ac:dyDescent="0.3">
      <c r="A27">
        <v>1173</v>
      </c>
      <c r="B27" s="1">
        <v>39176</v>
      </c>
      <c r="C27" s="1"/>
      <c r="E27" t="b">
        <f>NOT(OR(ISBLANK(tblEmployee[[#This Row],[EndDate]]),tblEmployee[[#This Row],[EndDate]]-tblEmployee[[#This Row],[StartDate]]&gt;90))</f>
        <v>0</v>
      </c>
    </row>
    <row r="28" spans="1:5" x14ac:dyDescent="0.3">
      <c r="A28">
        <v>1203</v>
      </c>
      <c r="B28" s="1">
        <v>41640</v>
      </c>
      <c r="C28" s="1">
        <v>44161</v>
      </c>
      <c r="D28" t="s">
        <v>25</v>
      </c>
      <c r="E28" t="b">
        <f>NOT(OR(ISBLANK(tblEmployee[[#This Row],[EndDate]]),tblEmployee[[#This Row],[EndDate]]-tblEmployee[[#This Row],[StartDate]]&gt;90))</f>
        <v>0</v>
      </c>
    </row>
    <row r="29" spans="1:5" x14ac:dyDescent="0.3">
      <c r="A29">
        <v>1216</v>
      </c>
      <c r="B29" s="1">
        <v>42354</v>
      </c>
      <c r="C29" s="1"/>
      <c r="E29" t="b">
        <f>NOT(OR(ISBLANK(tblEmployee[[#This Row],[EndDate]]),tblEmployee[[#This Row],[EndDate]]-tblEmployee[[#This Row],[StartDate]]&gt;90))</f>
        <v>0</v>
      </c>
    </row>
    <row r="30" spans="1:5" x14ac:dyDescent="0.3">
      <c r="A30">
        <v>1236</v>
      </c>
      <c r="B30" s="1">
        <v>40236</v>
      </c>
      <c r="C30" s="1"/>
      <c r="E30" t="b">
        <f>NOT(OR(ISBLANK(tblEmployee[[#This Row],[EndDate]]),tblEmployee[[#This Row],[EndDate]]-tblEmployee[[#This Row],[StartDate]]&gt;90))</f>
        <v>0</v>
      </c>
    </row>
    <row r="31" spans="1:5" x14ac:dyDescent="0.3">
      <c r="A31">
        <v>1254</v>
      </c>
      <c r="B31" s="1">
        <v>39092</v>
      </c>
      <c r="C31" s="1">
        <v>43704</v>
      </c>
      <c r="D31" t="s">
        <v>30</v>
      </c>
      <c r="E31" t="b">
        <f>NOT(OR(ISBLANK(tblEmployee[[#This Row],[EndDate]]),tblEmployee[[#This Row],[EndDate]]-tblEmployee[[#This Row],[StartDate]]&gt;90))</f>
        <v>0</v>
      </c>
    </row>
    <row r="32" spans="1:5" x14ac:dyDescent="0.3">
      <c r="A32">
        <v>1259</v>
      </c>
      <c r="B32" s="1">
        <v>40209</v>
      </c>
      <c r="C32" s="1"/>
      <c r="E32" t="b">
        <f>NOT(OR(ISBLANK(tblEmployee[[#This Row],[EndDate]]),tblEmployee[[#This Row],[EndDate]]-tblEmployee[[#This Row],[StartDate]]&gt;90))</f>
        <v>0</v>
      </c>
    </row>
    <row r="33" spans="1:7" x14ac:dyDescent="0.3">
      <c r="A33">
        <v>1261</v>
      </c>
      <c r="B33" s="1">
        <v>41694</v>
      </c>
      <c r="C33" s="1"/>
      <c r="E33" t="b">
        <f>NOT(OR(ISBLANK(tblEmployee[[#This Row],[EndDate]]),tblEmployee[[#This Row],[EndDate]]-tblEmployee[[#This Row],[StartDate]]&gt;90))</f>
        <v>0</v>
      </c>
    </row>
    <row r="34" spans="1:7" x14ac:dyDescent="0.3">
      <c r="A34">
        <v>1264</v>
      </c>
      <c r="B34" s="1">
        <v>40224</v>
      </c>
      <c r="C34" s="1"/>
      <c r="E34" t="b">
        <f>NOT(OR(ISBLANK(tblEmployee[[#This Row],[EndDate]]),tblEmployee[[#This Row],[EndDate]]-tblEmployee[[#This Row],[StartDate]]&gt;90))</f>
        <v>0</v>
      </c>
    </row>
    <row r="35" spans="1:7" x14ac:dyDescent="0.3">
      <c r="A35">
        <v>1272</v>
      </c>
      <c r="B35" s="1">
        <v>42848</v>
      </c>
      <c r="C35" s="1"/>
      <c r="E35" t="b">
        <f>NOT(OR(ISBLANK(tblEmployee[[#This Row],[EndDate]]),tblEmployee[[#This Row],[EndDate]]-tblEmployee[[#This Row],[StartDate]]&gt;90))</f>
        <v>0</v>
      </c>
    </row>
    <row r="36" spans="1:7" x14ac:dyDescent="0.3">
      <c r="A36">
        <v>1278</v>
      </c>
      <c r="B36" s="1">
        <v>38473</v>
      </c>
      <c r="C36" s="1">
        <v>38492</v>
      </c>
      <c r="D36" t="s">
        <v>27</v>
      </c>
      <c r="E36" t="b">
        <f>NOT(OR(ISBLANK(tblEmployee[[#This Row],[EndDate]]),tblEmployee[[#This Row],[EndDate]]-tblEmployee[[#This Row],[StartDate]]&gt;90))</f>
        <v>1</v>
      </c>
    </row>
    <row r="37" spans="1:7" x14ac:dyDescent="0.3">
      <c r="A37">
        <v>1280</v>
      </c>
      <c r="B37" s="1">
        <v>43804</v>
      </c>
      <c r="C37" s="1"/>
      <c r="E37" t="b">
        <f>NOT(OR(ISBLANK(tblEmployee[[#This Row],[EndDate]]),tblEmployee[[#This Row],[EndDate]]-tblEmployee[[#This Row],[StartDate]]&gt;90))</f>
        <v>0</v>
      </c>
    </row>
    <row r="38" spans="1:7" x14ac:dyDescent="0.3">
      <c r="A38">
        <v>1283</v>
      </c>
      <c r="B38" s="1">
        <v>40405</v>
      </c>
      <c r="C38" s="1"/>
      <c r="E38" t="b">
        <f>NOT(OR(ISBLANK(tblEmployee[[#This Row],[EndDate]]),tblEmployee[[#This Row],[EndDate]]-tblEmployee[[#This Row],[StartDate]]&gt;90))</f>
        <v>0</v>
      </c>
      <c r="G38" s="4"/>
    </row>
    <row r="39" spans="1:7" x14ac:dyDescent="0.3">
      <c r="A39">
        <v>1288</v>
      </c>
      <c r="B39" s="1">
        <v>42153</v>
      </c>
      <c r="C39" s="1">
        <v>43853</v>
      </c>
      <c r="D39" t="s">
        <v>26</v>
      </c>
      <c r="E39" t="b">
        <f>NOT(OR(ISBLANK(tblEmployee[[#This Row],[EndDate]]),tblEmployee[[#This Row],[EndDate]]-tblEmployee[[#This Row],[StartDate]]&gt;90))</f>
        <v>0</v>
      </c>
    </row>
    <row r="40" spans="1:7" x14ac:dyDescent="0.3">
      <c r="A40">
        <v>1294</v>
      </c>
      <c r="B40" s="1">
        <v>38583</v>
      </c>
      <c r="C40" s="1"/>
      <c r="E40" t="b">
        <f>NOT(OR(ISBLANK(tblEmployee[[#This Row],[EndDate]]),tblEmployee[[#This Row],[EndDate]]-tblEmployee[[#This Row],[StartDate]]&gt;90))</f>
        <v>0</v>
      </c>
    </row>
    <row r="41" spans="1:7" x14ac:dyDescent="0.3">
      <c r="A41">
        <v>1303</v>
      </c>
      <c r="B41" s="1">
        <v>42698</v>
      </c>
      <c r="C41" s="1"/>
      <c r="E41" t="b">
        <f>NOT(OR(ISBLANK(tblEmployee[[#This Row],[EndDate]]),tblEmployee[[#This Row],[EndDate]]-tblEmployee[[#This Row],[StartDate]]&gt;90))</f>
        <v>0</v>
      </c>
    </row>
    <row r="42" spans="1:7" x14ac:dyDescent="0.3">
      <c r="A42">
        <v>1318</v>
      </c>
      <c r="B42" s="1">
        <v>43826</v>
      </c>
      <c r="C42" s="1">
        <v>43899</v>
      </c>
      <c r="D42" t="s">
        <v>26</v>
      </c>
      <c r="E42" t="b">
        <f>NOT(OR(ISBLANK(tblEmployee[[#This Row],[EndDate]]),tblEmployee[[#This Row],[EndDate]]-tblEmployee[[#This Row],[StartDate]]&gt;90))</f>
        <v>1</v>
      </c>
    </row>
    <row r="43" spans="1:7" x14ac:dyDescent="0.3">
      <c r="A43">
        <v>1320</v>
      </c>
      <c r="B43" s="1">
        <v>39391</v>
      </c>
      <c r="C43" s="1"/>
      <c r="E43" t="b">
        <f>NOT(OR(ISBLANK(tblEmployee[[#This Row],[EndDate]]),tblEmployee[[#This Row],[EndDate]]-tblEmployee[[#This Row],[StartDate]]&gt;90))</f>
        <v>0</v>
      </c>
    </row>
    <row r="44" spans="1:7" x14ac:dyDescent="0.3">
      <c r="A44">
        <v>1330</v>
      </c>
      <c r="B44" s="1">
        <v>42975</v>
      </c>
      <c r="C44" s="1"/>
      <c r="E44" t="b">
        <f>NOT(OR(ISBLANK(tblEmployee[[#This Row],[EndDate]]),tblEmployee[[#This Row],[EndDate]]-tblEmployee[[#This Row],[StartDate]]&gt;90))</f>
        <v>0</v>
      </c>
      <c r="G44" s="4"/>
    </row>
    <row r="45" spans="1:7" x14ac:dyDescent="0.3">
      <c r="A45">
        <v>1341</v>
      </c>
      <c r="B45" s="1">
        <v>38891</v>
      </c>
      <c r="C45" s="1">
        <v>41042</v>
      </c>
      <c r="D45" t="s">
        <v>30</v>
      </c>
      <c r="E45" t="b">
        <f>NOT(OR(ISBLANK(tblEmployee[[#This Row],[EndDate]]),tblEmployee[[#This Row],[EndDate]]-tblEmployee[[#This Row],[StartDate]]&gt;90))</f>
        <v>0</v>
      </c>
    </row>
    <row r="46" spans="1:7" x14ac:dyDescent="0.3">
      <c r="A46">
        <v>1343</v>
      </c>
      <c r="B46" s="1">
        <v>42701</v>
      </c>
      <c r="C46" s="1"/>
      <c r="E46" t="b">
        <f>NOT(OR(ISBLANK(tblEmployee[[#This Row],[EndDate]]),tblEmployee[[#This Row],[EndDate]]-tblEmployee[[#This Row],[StartDate]]&gt;90))</f>
        <v>0</v>
      </c>
    </row>
    <row r="47" spans="1:7" x14ac:dyDescent="0.3">
      <c r="A47">
        <v>1347</v>
      </c>
      <c r="B47" s="1">
        <v>40289</v>
      </c>
      <c r="C47" s="1"/>
      <c r="E47" t="b">
        <f>NOT(OR(ISBLANK(tblEmployee[[#This Row],[EndDate]]),tblEmployee[[#This Row],[EndDate]]-tblEmployee[[#This Row],[StartDate]]&gt;90))</f>
        <v>0</v>
      </c>
    </row>
    <row r="48" spans="1:7" x14ac:dyDescent="0.3">
      <c r="A48">
        <v>1351</v>
      </c>
      <c r="B48" s="1">
        <v>43543</v>
      </c>
      <c r="C48" s="1"/>
      <c r="E48" t="b">
        <f>NOT(OR(ISBLANK(tblEmployee[[#This Row],[EndDate]]),tblEmployee[[#This Row],[EndDate]]-tblEmployee[[#This Row],[StartDate]]&gt;90))</f>
        <v>0</v>
      </c>
    </row>
    <row r="49" spans="1:7" x14ac:dyDescent="0.3">
      <c r="A49">
        <v>1358</v>
      </c>
      <c r="B49" s="1">
        <v>37310</v>
      </c>
      <c r="C49" s="1"/>
      <c r="E49" t="b">
        <f>NOT(OR(ISBLANK(tblEmployee[[#This Row],[EndDate]]),tblEmployee[[#This Row],[EndDate]]-tblEmployee[[#This Row],[StartDate]]&gt;90))</f>
        <v>0</v>
      </c>
    </row>
    <row r="50" spans="1:7" x14ac:dyDescent="0.3">
      <c r="A50">
        <v>1362</v>
      </c>
      <c r="B50" s="1">
        <v>42754</v>
      </c>
      <c r="C50" s="1"/>
      <c r="E50" t="b">
        <f>NOT(OR(ISBLANK(tblEmployee[[#This Row],[EndDate]]),tblEmployee[[#This Row],[EndDate]]-tblEmployee[[#This Row],[StartDate]]&gt;90))</f>
        <v>0</v>
      </c>
    </row>
    <row r="51" spans="1:7" x14ac:dyDescent="0.3">
      <c r="A51">
        <v>1380</v>
      </c>
      <c r="B51" s="1">
        <v>38697</v>
      </c>
      <c r="C51" s="1"/>
      <c r="E51" t="b">
        <f>NOT(OR(ISBLANK(tblEmployee[[#This Row],[EndDate]]),tblEmployee[[#This Row],[EndDate]]-tblEmployee[[#This Row],[StartDate]]&gt;90))</f>
        <v>0</v>
      </c>
    </row>
    <row r="52" spans="1:7" x14ac:dyDescent="0.3">
      <c r="A52">
        <v>1386</v>
      </c>
      <c r="B52" s="1">
        <v>43635</v>
      </c>
      <c r="C52" s="1"/>
      <c r="E52" t="b">
        <f>NOT(OR(ISBLANK(tblEmployee[[#This Row],[EndDate]]),tblEmployee[[#This Row],[EndDate]]-tblEmployee[[#This Row],[StartDate]]&gt;90))</f>
        <v>0</v>
      </c>
    </row>
    <row r="53" spans="1:7" x14ac:dyDescent="0.3">
      <c r="A53">
        <v>1388</v>
      </c>
      <c r="B53" s="1">
        <v>38992</v>
      </c>
      <c r="C53" s="1"/>
      <c r="E53" t="b">
        <f>NOT(OR(ISBLANK(tblEmployee[[#This Row],[EndDate]]),tblEmployee[[#This Row],[EndDate]]-tblEmployee[[#This Row],[StartDate]]&gt;90))</f>
        <v>0</v>
      </c>
    </row>
    <row r="54" spans="1:7" x14ac:dyDescent="0.3">
      <c r="A54">
        <v>1395</v>
      </c>
      <c r="B54" s="1">
        <v>39818</v>
      </c>
      <c r="C54" s="1"/>
      <c r="E54" t="b">
        <f>NOT(OR(ISBLANK(tblEmployee[[#This Row],[EndDate]]),tblEmployee[[#This Row],[EndDate]]-tblEmployee[[#This Row],[StartDate]]&gt;90))</f>
        <v>0</v>
      </c>
      <c r="G54" s="4"/>
    </row>
    <row r="55" spans="1:7" x14ac:dyDescent="0.3">
      <c r="A55">
        <v>1397</v>
      </c>
      <c r="B55" s="1">
        <v>38629</v>
      </c>
      <c r="C55" s="1"/>
      <c r="E55" t="b">
        <f>NOT(OR(ISBLANK(tblEmployee[[#This Row],[EndDate]]),tblEmployee[[#This Row],[EndDate]]-tblEmployee[[#This Row],[StartDate]]&gt;90))</f>
        <v>0</v>
      </c>
    </row>
    <row r="56" spans="1:7" x14ac:dyDescent="0.3">
      <c r="A56">
        <v>1400</v>
      </c>
      <c r="B56" s="1">
        <v>44359</v>
      </c>
      <c r="C56" s="1">
        <v>44549</v>
      </c>
      <c r="D56" t="s">
        <v>28</v>
      </c>
      <c r="E56" t="b">
        <f>NOT(OR(ISBLANK(tblEmployee[[#This Row],[EndDate]]),tblEmployee[[#This Row],[EndDate]]-tblEmployee[[#This Row],[StartDate]]&gt;90))</f>
        <v>0</v>
      </c>
    </row>
    <row r="57" spans="1:7" x14ac:dyDescent="0.3">
      <c r="A57">
        <v>1402</v>
      </c>
      <c r="B57" s="1">
        <v>39644</v>
      </c>
      <c r="C57" s="1"/>
      <c r="E57" t="b">
        <f>NOT(OR(ISBLANK(tblEmployee[[#This Row],[EndDate]]),tblEmployee[[#This Row],[EndDate]]-tblEmployee[[#This Row],[StartDate]]&gt;90))</f>
        <v>0</v>
      </c>
    </row>
    <row r="58" spans="1:7" x14ac:dyDescent="0.3">
      <c r="A58">
        <v>1404</v>
      </c>
      <c r="B58" s="1">
        <v>38739</v>
      </c>
      <c r="C58" s="1"/>
      <c r="E58" t="b">
        <f>NOT(OR(ISBLANK(tblEmployee[[#This Row],[EndDate]]),tblEmployee[[#This Row],[EndDate]]-tblEmployee[[#This Row],[StartDate]]&gt;90))</f>
        <v>0</v>
      </c>
    </row>
    <row r="59" spans="1:7" x14ac:dyDescent="0.3">
      <c r="A59">
        <v>1410</v>
      </c>
      <c r="B59" s="1">
        <v>44047</v>
      </c>
      <c r="C59" s="1"/>
      <c r="E59" t="b">
        <f>NOT(OR(ISBLANK(tblEmployee[[#This Row],[EndDate]]),tblEmployee[[#This Row],[EndDate]]-tblEmployee[[#This Row],[StartDate]]&gt;90))</f>
        <v>0</v>
      </c>
    </row>
    <row r="60" spans="1:7" x14ac:dyDescent="0.3">
      <c r="A60">
        <v>1420</v>
      </c>
      <c r="B60" s="1">
        <v>41696</v>
      </c>
      <c r="C60" s="1"/>
      <c r="E60" t="b">
        <f>NOT(OR(ISBLANK(tblEmployee[[#This Row],[EndDate]]),tblEmployee[[#This Row],[EndDate]]-tblEmployee[[#This Row],[StartDate]]&gt;90))</f>
        <v>0</v>
      </c>
    </row>
    <row r="61" spans="1:7" x14ac:dyDescent="0.3">
      <c r="A61">
        <v>1426</v>
      </c>
      <c r="B61" s="1">
        <v>42275</v>
      </c>
      <c r="C61" s="1"/>
      <c r="E61" t="b">
        <f>NOT(OR(ISBLANK(tblEmployee[[#This Row],[EndDate]]),tblEmployee[[#This Row],[EndDate]]-tblEmployee[[#This Row],[StartDate]]&gt;90))</f>
        <v>0</v>
      </c>
    </row>
    <row r="62" spans="1:7" x14ac:dyDescent="0.3">
      <c r="A62">
        <v>1433</v>
      </c>
      <c r="B62" s="1">
        <v>38807</v>
      </c>
      <c r="C62" s="1"/>
      <c r="E62" t="b">
        <f>NOT(OR(ISBLANK(tblEmployee[[#This Row],[EndDate]]),tblEmployee[[#This Row],[EndDate]]-tblEmployee[[#This Row],[StartDate]]&gt;90))</f>
        <v>0</v>
      </c>
    </row>
    <row r="63" spans="1:7" x14ac:dyDescent="0.3">
      <c r="A63">
        <v>1437</v>
      </c>
      <c r="B63" s="1">
        <v>39969</v>
      </c>
      <c r="C63" s="1"/>
      <c r="E63" t="b">
        <f>NOT(OR(ISBLANK(tblEmployee[[#This Row],[EndDate]]),tblEmployee[[#This Row],[EndDate]]-tblEmployee[[#This Row],[StartDate]]&gt;90))</f>
        <v>0</v>
      </c>
    </row>
    <row r="64" spans="1:7" x14ac:dyDescent="0.3">
      <c r="A64">
        <v>1447</v>
      </c>
      <c r="B64" s="1">
        <v>41814</v>
      </c>
      <c r="C64" s="1">
        <v>43586</v>
      </c>
      <c r="D64" t="s">
        <v>31</v>
      </c>
      <c r="E64" t="b">
        <f>NOT(OR(ISBLANK(tblEmployee[[#This Row],[EndDate]]),tblEmployee[[#This Row],[EndDate]]-tblEmployee[[#This Row],[StartDate]]&gt;90))</f>
        <v>0</v>
      </c>
    </row>
    <row r="65" spans="1:5" x14ac:dyDescent="0.3">
      <c r="A65">
        <v>1450</v>
      </c>
      <c r="B65" s="1">
        <v>40993</v>
      </c>
      <c r="C65" s="1"/>
      <c r="E65" t="b">
        <f>NOT(OR(ISBLANK(tblEmployee[[#This Row],[EndDate]]),tblEmployee[[#This Row],[EndDate]]-tblEmployee[[#This Row],[StartDate]]&gt;90))</f>
        <v>0</v>
      </c>
    </row>
    <row r="66" spans="1:5" x14ac:dyDescent="0.3">
      <c r="A66">
        <v>1452</v>
      </c>
      <c r="B66" s="1">
        <v>41571</v>
      </c>
      <c r="C66" s="1"/>
      <c r="E66" t="b">
        <f>NOT(OR(ISBLANK(tblEmployee[[#This Row],[EndDate]]),tblEmployee[[#This Row],[EndDate]]-tblEmployee[[#This Row],[StartDate]]&gt;90))</f>
        <v>0</v>
      </c>
    </row>
    <row r="67" spans="1:5" x14ac:dyDescent="0.3">
      <c r="A67">
        <v>1461</v>
      </c>
      <c r="B67" s="1">
        <v>41298</v>
      </c>
      <c r="C67" s="1"/>
      <c r="E67" t="b">
        <f>NOT(OR(ISBLANK(tblEmployee[[#This Row],[EndDate]]),tblEmployee[[#This Row],[EndDate]]-tblEmployee[[#This Row],[StartDate]]&gt;90))</f>
        <v>0</v>
      </c>
    </row>
    <row r="68" spans="1:5" x14ac:dyDescent="0.3">
      <c r="A68">
        <v>1467</v>
      </c>
      <c r="B68" s="1">
        <v>37975</v>
      </c>
      <c r="C68" s="1"/>
      <c r="E68" t="b">
        <f>NOT(OR(ISBLANK(tblEmployee[[#This Row],[EndDate]]),tblEmployee[[#This Row],[EndDate]]-tblEmployee[[#This Row],[StartDate]]&gt;90))</f>
        <v>0</v>
      </c>
    </row>
    <row r="69" spans="1:5" x14ac:dyDescent="0.3">
      <c r="A69">
        <v>1473</v>
      </c>
      <c r="B69" s="1">
        <v>41652</v>
      </c>
      <c r="C69" s="1"/>
      <c r="E69" t="b">
        <f>NOT(OR(ISBLANK(tblEmployee[[#This Row],[EndDate]]),tblEmployee[[#This Row],[EndDate]]-tblEmployee[[#This Row],[StartDate]]&gt;90))</f>
        <v>0</v>
      </c>
    </row>
    <row r="70" spans="1:5" x14ac:dyDescent="0.3">
      <c r="A70">
        <v>1477</v>
      </c>
      <c r="B70" s="1">
        <v>41790</v>
      </c>
      <c r="C70" s="1"/>
      <c r="E70" t="b">
        <f>NOT(OR(ISBLANK(tblEmployee[[#This Row],[EndDate]]),tblEmployee[[#This Row],[EndDate]]-tblEmployee[[#This Row],[StartDate]]&gt;90))</f>
        <v>0</v>
      </c>
    </row>
    <row r="71" spans="1:5" x14ac:dyDescent="0.3">
      <c r="A71">
        <v>1479</v>
      </c>
      <c r="B71" s="1">
        <v>41001</v>
      </c>
      <c r="C71" s="1"/>
      <c r="E71" t="b">
        <f>NOT(OR(ISBLANK(tblEmployee[[#This Row],[EndDate]]),tblEmployee[[#This Row],[EndDate]]-tblEmployee[[#This Row],[StartDate]]&gt;90))</f>
        <v>0</v>
      </c>
    </row>
    <row r="72" spans="1:5" x14ac:dyDescent="0.3">
      <c r="A72">
        <v>1480</v>
      </c>
      <c r="B72" s="1">
        <v>38421</v>
      </c>
      <c r="C72" s="1"/>
      <c r="E72" t="b">
        <f>NOT(OR(ISBLANK(tblEmployee[[#This Row],[EndDate]]),tblEmployee[[#This Row],[EndDate]]-tblEmployee[[#This Row],[StartDate]]&gt;90))</f>
        <v>0</v>
      </c>
    </row>
    <row r="73" spans="1:5" x14ac:dyDescent="0.3">
      <c r="A73">
        <v>1485</v>
      </c>
      <c r="B73" s="1">
        <v>38452</v>
      </c>
      <c r="C73" s="1"/>
      <c r="E73" t="b">
        <f>NOT(OR(ISBLANK(tblEmployee[[#This Row],[EndDate]]),tblEmployee[[#This Row],[EndDate]]-tblEmployee[[#This Row],[StartDate]]&gt;90))</f>
        <v>0</v>
      </c>
    </row>
    <row r="74" spans="1:5" x14ac:dyDescent="0.3">
      <c r="A74">
        <v>1491</v>
      </c>
      <c r="B74" s="1">
        <v>39439</v>
      </c>
      <c r="C74" s="1"/>
      <c r="E74" t="b">
        <f>NOT(OR(ISBLANK(tblEmployee[[#This Row],[EndDate]]),tblEmployee[[#This Row],[EndDate]]-tblEmployee[[#This Row],[StartDate]]&gt;90))</f>
        <v>0</v>
      </c>
    </row>
    <row r="75" spans="1:5" x14ac:dyDescent="0.3">
      <c r="A75">
        <v>1495</v>
      </c>
      <c r="B75" s="1">
        <v>40227</v>
      </c>
      <c r="C75" s="1">
        <v>42393</v>
      </c>
      <c r="D75" t="s">
        <v>28</v>
      </c>
      <c r="E75" t="b">
        <f>NOT(OR(ISBLANK(tblEmployee[[#This Row],[EndDate]]),tblEmployee[[#This Row],[EndDate]]-tblEmployee[[#This Row],[StartDate]]&gt;90))</f>
        <v>0</v>
      </c>
    </row>
    <row r="76" spans="1:5" x14ac:dyDescent="0.3">
      <c r="A76">
        <v>1500</v>
      </c>
      <c r="B76" s="1">
        <v>41982</v>
      </c>
      <c r="C76" s="1"/>
      <c r="E76" t="b">
        <f>NOT(OR(ISBLANK(tblEmployee[[#This Row],[EndDate]]),tblEmployee[[#This Row],[EndDate]]-tblEmployee[[#This Row],[StartDate]]&gt;90))</f>
        <v>0</v>
      </c>
    </row>
    <row r="77" spans="1:5" x14ac:dyDescent="0.3">
      <c r="A77">
        <v>1506</v>
      </c>
      <c r="B77" s="1">
        <v>42095</v>
      </c>
      <c r="C77" s="1"/>
      <c r="E77" t="b">
        <f>NOT(OR(ISBLANK(tblEmployee[[#This Row],[EndDate]]),tblEmployee[[#This Row],[EndDate]]-tblEmployee[[#This Row],[StartDate]]&gt;90))</f>
        <v>0</v>
      </c>
    </row>
    <row r="78" spans="1:5" x14ac:dyDescent="0.3">
      <c r="A78">
        <v>1508</v>
      </c>
      <c r="B78" s="1">
        <v>43461</v>
      </c>
      <c r="C78" s="1">
        <v>43745</v>
      </c>
      <c r="D78" t="s">
        <v>27</v>
      </c>
      <c r="E78" t="b">
        <f>NOT(OR(ISBLANK(tblEmployee[[#This Row],[EndDate]]),tblEmployee[[#This Row],[EndDate]]-tblEmployee[[#This Row],[StartDate]]&gt;90))</f>
        <v>0</v>
      </c>
    </row>
    <row r="79" spans="1:5" x14ac:dyDescent="0.3">
      <c r="A79">
        <v>1510</v>
      </c>
      <c r="B79" s="1">
        <v>39791</v>
      </c>
      <c r="C79" s="1"/>
      <c r="E79" t="b">
        <f>NOT(OR(ISBLANK(tblEmployee[[#This Row],[EndDate]]),tblEmployee[[#This Row],[EndDate]]-tblEmployee[[#This Row],[StartDate]]&gt;90))</f>
        <v>0</v>
      </c>
    </row>
    <row r="80" spans="1:5" x14ac:dyDescent="0.3">
      <c r="A80">
        <v>1515</v>
      </c>
      <c r="B80" s="1">
        <v>43383</v>
      </c>
      <c r="C80" s="1"/>
      <c r="E80" t="b">
        <f>NOT(OR(ISBLANK(tblEmployee[[#This Row],[EndDate]]),tblEmployee[[#This Row],[EndDate]]-tblEmployee[[#This Row],[StartDate]]&gt;90))</f>
        <v>0</v>
      </c>
    </row>
    <row r="81" spans="1:5" x14ac:dyDescent="0.3">
      <c r="A81">
        <v>1517</v>
      </c>
      <c r="B81" s="1">
        <v>40795</v>
      </c>
      <c r="C81" s="1"/>
      <c r="E81" t="b">
        <f>NOT(OR(ISBLANK(tblEmployee[[#This Row],[EndDate]]),tblEmployee[[#This Row],[EndDate]]-tblEmployee[[#This Row],[StartDate]]&gt;90))</f>
        <v>0</v>
      </c>
    </row>
    <row r="82" spans="1:5" x14ac:dyDescent="0.3">
      <c r="A82">
        <v>1518</v>
      </c>
      <c r="B82" s="1">
        <v>38211</v>
      </c>
      <c r="C82" s="1">
        <v>42681</v>
      </c>
      <c r="D82" t="s">
        <v>25</v>
      </c>
      <c r="E82" t="b">
        <f>NOT(OR(ISBLANK(tblEmployee[[#This Row],[EndDate]]),tblEmployee[[#This Row],[EndDate]]-tblEmployee[[#This Row],[StartDate]]&gt;90))</f>
        <v>0</v>
      </c>
    </row>
    <row r="83" spans="1:5" x14ac:dyDescent="0.3">
      <c r="A83">
        <v>1528</v>
      </c>
      <c r="B83" s="1">
        <v>43150</v>
      </c>
      <c r="C83" s="1"/>
      <c r="E83" t="b">
        <f>NOT(OR(ISBLANK(tblEmployee[[#This Row],[EndDate]]),tblEmployee[[#This Row],[EndDate]]-tblEmployee[[#This Row],[StartDate]]&gt;90))</f>
        <v>0</v>
      </c>
    </row>
    <row r="84" spans="1:5" x14ac:dyDescent="0.3">
      <c r="A84">
        <v>1529</v>
      </c>
      <c r="B84" s="1">
        <v>39739</v>
      </c>
      <c r="C84" s="1">
        <v>43835</v>
      </c>
      <c r="D84" t="s">
        <v>26</v>
      </c>
      <c r="E84" t="b">
        <f>NOT(OR(ISBLANK(tblEmployee[[#This Row],[EndDate]]),tblEmployee[[#This Row],[EndDate]]-tblEmployee[[#This Row],[StartDate]]&gt;90))</f>
        <v>0</v>
      </c>
    </row>
    <row r="85" spans="1:5" x14ac:dyDescent="0.3">
      <c r="A85">
        <v>1530</v>
      </c>
      <c r="B85" s="1">
        <v>37288</v>
      </c>
      <c r="C85" s="1"/>
      <c r="E85" t="b">
        <f>NOT(OR(ISBLANK(tblEmployee[[#This Row],[EndDate]]),tblEmployee[[#This Row],[EndDate]]-tblEmployee[[#This Row],[StartDate]]&gt;90))</f>
        <v>0</v>
      </c>
    </row>
    <row r="86" spans="1:5" x14ac:dyDescent="0.3">
      <c r="A86">
        <v>1531</v>
      </c>
      <c r="B86" s="1">
        <v>44555</v>
      </c>
      <c r="C86" s="1">
        <v>44561</v>
      </c>
      <c r="D86" t="s">
        <v>28</v>
      </c>
      <c r="E86" t="b">
        <f>NOT(OR(ISBLANK(tblEmployee[[#This Row],[EndDate]]),tblEmployee[[#This Row],[EndDate]]-tblEmployee[[#This Row],[StartDate]]&gt;90))</f>
        <v>1</v>
      </c>
    </row>
    <row r="87" spans="1:5" x14ac:dyDescent="0.3">
      <c r="A87">
        <v>1536</v>
      </c>
      <c r="B87" s="1">
        <v>43783</v>
      </c>
      <c r="C87" s="1"/>
      <c r="E87" t="b">
        <f>NOT(OR(ISBLANK(tblEmployee[[#This Row],[EndDate]]),tblEmployee[[#This Row],[EndDate]]-tblEmployee[[#This Row],[StartDate]]&gt;90))</f>
        <v>0</v>
      </c>
    </row>
    <row r="88" spans="1:5" x14ac:dyDescent="0.3">
      <c r="A88">
        <v>1537</v>
      </c>
      <c r="B88" s="1">
        <v>44032</v>
      </c>
      <c r="C88" s="1"/>
      <c r="E88" t="b">
        <f>NOT(OR(ISBLANK(tblEmployee[[#This Row],[EndDate]]),tblEmployee[[#This Row],[EndDate]]-tblEmployee[[#This Row],[StartDate]]&gt;90))</f>
        <v>0</v>
      </c>
    </row>
    <row r="89" spans="1:5" x14ac:dyDescent="0.3">
      <c r="A89">
        <v>1548</v>
      </c>
      <c r="B89" s="1">
        <v>39366</v>
      </c>
      <c r="C89" s="1"/>
      <c r="E89" t="b">
        <f>NOT(OR(ISBLANK(tblEmployee[[#This Row],[EndDate]]),tblEmployee[[#This Row],[EndDate]]-tblEmployee[[#This Row],[StartDate]]&gt;90))</f>
        <v>0</v>
      </c>
    </row>
    <row r="90" spans="1:5" x14ac:dyDescent="0.3">
      <c r="A90">
        <v>1553</v>
      </c>
      <c r="B90" s="1">
        <v>42889</v>
      </c>
      <c r="C90" s="1"/>
      <c r="E90" t="b">
        <f>NOT(OR(ISBLANK(tblEmployee[[#This Row],[EndDate]]),tblEmployee[[#This Row],[EndDate]]-tblEmployee[[#This Row],[StartDate]]&gt;90))</f>
        <v>0</v>
      </c>
    </row>
    <row r="91" spans="1:5" x14ac:dyDescent="0.3">
      <c r="A91">
        <v>1568</v>
      </c>
      <c r="B91" s="1">
        <v>43446</v>
      </c>
      <c r="C91" s="1"/>
      <c r="E91" t="b">
        <f>NOT(OR(ISBLANK(tblEmployee[[#This Row],[EndDate]]),tblEmployee[[#This Row],[EndDate]]-tblEmployee[[#This Row],[StartDate]]&gt;90))</f>
        <v>0</v>
      </c>
    </row>
    <row r="92" spans="1:5" x14ac:dyDescent="0.3">
      <c r="A92">
        <v>1575</v>
      </c>
      <c r="B92" s="1">
        <v>39302</v>
      </c>
      <c r="C92" s="1">
        <v>40792</v>
      </c>
      <c r="D92" t="s">
        <v>56</v>
      </c>
      <c r="E92" t="b">
        <f>NOT(OR(ISBLANK(tblEmployee[[#This Row],[EndDate]]),tblEmployee[[#This Row],[EndDate]]-tblEmployee[[#This Row],[StartDate]]&gt;90))</f>
        <v>0</v>
      </c>
    </row>
    <row r="93" spans="1:5" x14ac:dyDescent="0.3">
      <c r="A93">
        <v>1580</v>
      </c>
      <c r="B93" s="1">
        <v>39716</v>
      </c>
      <c r="C93" s="1">
        <v>39841</v>
      </c>
      <c r="D93" t="s">
        <v>25</v>
      </c>
      <c r="E93" t="b">
        <f>NOT(OR(ISBLANK(tblEmployee[[#This Row],[EndDate]]),tblEmployee[[#This Row],[EndDate]]-tblEmployee[[#This Row],[StartDate]]&gt;90))</f>
        <v>0</v>
      </c>
    </row>
    <row r="94" spans="1:5" x14ac:dyDescent="0.3">
      <c r="A94">
        <v>1586</v>
      </c>
      <c r="B94" s="1">
        <v>38613</v>
      </c>
      <c r="C94" s="1"/>
      <c r="E94" t="b">
        <f>NOT(OR(ISBLANK(tblEmployee[[#This Row],[EndDate]]),tblEmployee[[#This Row],[EndDate]]-tblEmployee[[#This Row],[StartDate]]&gt;90))</f>
        <v>0</v>
      </c>
    </row>
    <row r="95" spans="1:5" x14ac:dyDescent="0.3">
      <c r="A95">
        <v>1588</v>
      </c>
      <c r="B95" s="1">
        <v>41406</v>
      </c>
      <c r="C95" s="1"/>
      <c r="E95" t="b">
        <f>NOT(OR(ISBLANK(tblEmployee[[#This Row],[EndDate]]),tblEmployee[[#This Row],[EndDate]]-tblEmployee[[#This Row],[StartDate]]&gt;90))</f>
        <v>0</v>
      </c>
    </row>
    <row r="96" spans="1:5" x14ac:dyDescent="0.3">
      <c r="A96">
        <v>1592</v>
      </c>
      <c r="B96" s="1">
        <v>38934</v>
      </c>
      <c r="C96" s="1"/>
      <c r="E96" t="b">
        <f>NOT(OR(ISBLANK(tblEmployee[[#This Row],[EndDate]]),tblEmployee[[#This Row],[EndDate]]-tblEmployee[[#This Row],[StartDate]]&gt;90))</f>
        <v>0</v>
      </c>
    </row>
    <row r="97" spans="1:5" x14ac:dyDescent="0.3">
      <c r="A97">
        <v>1603</v>
      </c>
      <c r="B97" s="1">
        <v>37845</v>
      </c>
      <c r="C97" s="1"/>
      <c r="E97" t="b">
        <f>NOT(OR(ISBLANK(tblEmployee[[#This Row],[EndDate]]),tblEmployee[[#This Row],[EndDate]]-tblEmployee[[#This Row],[StartDate]]&gt;90))</f>
        <v>0</v>
      </c>
    </row>
    <row r="98" spans="1:5" x14ac:dyDescent="0.3">
      <c r="A98">
        <v>1605</v>
      </c>
      <c r="B98" s="1">
        <v>43197</v>
      </c>
      <c r="C98" s="1"/>
      <c r="E98" t="b">
        <f>NOT(OR(ISBLANK(tblEmployee[[#This Row],[EndDate]]),tblEmployee[[#This Row],[EndDate]]-tblEmployee[[#This Row],[StartDate]]&gt;90))</f>
        <v>0</v>
      </c>
    </row>
    <row r="99" spans="1:5" x14ac:dyDescent="0.3">
      <c r="A99">
        <v>1612</v>
      </c>
      <c r="B99" s="1">
        <v>38057</v>
      </c>
      <c r="C99" s="1"/>
      <c r="E99" t="b">
        <f>NOT(OR(ISBLANK(tblEmployee[[#This Row],[EndDate]]),tblEmployee[[#This Row],[EndDate]]-tblEmployee[[#This Row],[StartDate]]&gt;90))</f>
        <v>0</v>
      </c>
    </row>
    <row r="100" spans="1:5" x14ac:dyDescent="0.3">
      <c r="A100">
        <v>1613</v>
      </c>
      <c r="B100" s="1">
        <v>42239</v>
      </c>
      <c r="C100" s="1"/>
      <c r="E100" t="b">
        <f>NOT(OR(ISBLANK(tblEmployee[[#This Row],[EndDate]]),tblEmployee[[#This Row],[EndDate]]-tblEmployee[[#This Row],[StartDate]]&gt;90))</f>
        <v>0</v>
      </c>
    </row>
    <row r="101" spans="1:5" x14ac:dyDescent="0.3">
      <c r="A101">
        <v>1616</v>
      </c>
      <c r="B101" s="1">
        <v>38890</v>
      </c>
      <c r="C101" s="1"/>
      <c r="E101" t="b">
        <f>NOT(OR(ISBLANK(tblEmployee[[#This Row],[EndDate]]),tblEmployee[[#This Row],[EndDate]]-tblEmployee[[#This Row],[StartDate]]&gt;90))</f>
        <v>0</v>
      </c>
    </row>
    <row r="102" spans="1:5" x14ac:dyDescent="0.3">
      <c r="A102">
        <v>1621</v>
      </c>
      <c r="B102" s="1">
        <v>43230</v>
      </c>
      <c r="C102" s="1"/>
      <c r="E102" t="b">
        <f>NOT(OR(ISBLANK(tblEmployee[[#This Row],[EndDate]]),tblEmployee[[#This Row],[EndDate]]-tblEmployee[[#This Row],[StartDate]]&gt;90))</f>
        <v>0</v>
      </c>
    </row>
    <row r="103" spans="1:5" x14ac:dyDescent="0.3">
      <c r="A103">
        <v>1628</v>
      </c>
      <c r="B103" s="1">
        <v>40098</v>
      </c>
      <c r="C103" s="1"/>
      <c r="E103" t="b">
        <f>NOT(OR(ISBLANK(tblEmployee[[#This Row],[EndDate]]),tblEmployee[[#This Row],[EndDate]]-tblEmployee[[#This Row],[StartDate]]&gt;90))</f>
        <v>0</v>
      </c>
    </row>
    <row r="104" spans="1:5" x14ac:dyDescent="0.3">
      <c r="A104">
        <v>1634</v>
      </c>
      <c r="B104" s="1">
        <v>38925</v>
      </c>
      <c r="C104" s="1"/>
      <c r="E104" t="b">
        <f>NOT(OR(ISBLANK(tblEmployee[[#This Row],[EndDate]]),tblEmployee[[#This Row],[EndDate]]-tblEmployee[[#This Row],[StartDate]]&gt;90))</f>
        <v>0</v>
      </c>
    </row>
    <row r="105" spans="1:5" x14ac:dyDescent="0.3">
      <c r="A105">
        <v>1636</v>
      </c>
      <c r="B105" s="1">
        <v>41530</v>
      </c>
      <c r="C105" s="1"/>
      <c r="E105" t="b">
        <f>NOT(OR(ISBLANK(tblEmployee[[#This Row],[EndDate]]),tblEmployee[[#This Row],[EndDate]]-tblEmployee[[#This Row],[StartDate]]&gt;90))</f>
        <v>0</v>
      </c>
    </row>
    <row r="106" spans="1:5" x14ac:dyDescent="0.3">
      <c r="A106">
        <v>1642</v>
      </c>
      <c r="B106" s="1">
        <v>39166</v>
      </c>
      <c r="C106" s="1">
        <v>40224</v>
      </c>
      <c r="D106" t="s">
        <v>31</v>
      </c>
      <c r="E106" t="b">
        <f>NOT(OR(ISBLANK(tblEmployee[[#This Row],[EndDate]]),tblEmployee[[#This Row],[EndDate]]-tblEmployee[[#This Row],[StartDate]]&gt;90))</f>
        <v>0</v>
      </c>
    </row>
    <row r="107" spans="1:5" x14ac:dyDescent="0.3">
      <c r="A107">
        <v>1654</v>
      </c>
      <c r="B107" s="1">
        <v>43913</v>
      </c>
      <c r="C107" s="1"/>
      <c r="E107" t="b">
        <f>NOT(OR(ISBLANK(tblEmployee[[#This Row],[EndDate]]),tblEmployee[[#This Row],[EndDate]]-tblEmployee[[#This Row],[StartDate]]&gt;90))</f>
        <v>0</v>
      </c>
    </row>
    <row r="108" spans="1:5" x14ac:dyDescent="0.3">
      <c r="A108">
        <v>1660</v>
      </c>
      <c r="B108" s="1">
        <v>38747</v>
      </c>
      <c r="C108" s="1"/>
      <c r="E108" t="b">
        <f>NOT(OR(ISBLANK(tblEmployee[[#This Row],[EndDate]]),tblEmployee[[#This Row],[EndDate]]-tblEmployee[[#This Row],[StartDate]]&gt;90))</f>
        <v>0</v>
      </c>
    </row>
    <row r="109" spans="1:5" x14ac:dyDescent="0.3">
      <c r="A109">
        <v>1662</v>
      </c>
      <c r="B109" s="1">
        <v>39298</v>
      </c>
      <c r="C109" s="1"/>
      <c r="E109" t="b">
        <f>NOT(OR(ISBLANK(tblEmployee[[#This Row],[EndDate]]),tblEmployee[[#This Row],[EndDate]]-tblEmployee[[#This Row],[StartDate]]&gt;90))</f>
        <v>0</v>
      </c>
    </row>
    <row r="110" spans="1:5" x14ac:dyDescent="0.3">
      <c r="A110">
        <v>1663</v>
      </c>
      <c r="B110" s="1">
        <v>37278</v>
      </c>
      <c r="C110" s="1"/>
      <c r="E110" t="b">
        <f>NOT(OR(ISBLANK(tblEmployee[[#This Row],[EndDate]]),tblEmployee[[#This Row],[EndDate]]-tblEmployee[[#This Row],[StartDate]]&gt;90))</f>
        <v>0</v>
      </c>
    </row>
    <row r="111" spans="1:5" x14ac:dyDescent="0.3">
      <c r="A111">
        <v>1664</v>
      </c>
      <c r="B111" s="1">
        <v>44118</v>
      </c>
      <c r="C111" s="1"/>
      <c r="E111" t="b">
        <f>NOT(OR(ISBLANK(tblEmployee[[#This Row],[EndDate]]),tblEmployee[[#This Row],[EndDate]]-tblEmployee[[#This Row],[StartDate]]&gt;90))</f>
        <v>0</v>
      </c>
    </row>
    <row r="112" spans="1:5" x14ac:dyDescent="0.3">
      <c r="A112">
        <v>1665</v>
      </c>
      <c r="B112" s="1">
        <v>42362</v>
      </c>
      <c r="C112" s="1">
        <v>44089</v>
      </c>
      <c r="D112" t="s">
        <v>25</v>
      </c>
      <c r="E112" t="b">
        <f>NOT(OR(ISBLANK(tblEmployee[[#This Row],[EndDate]]),tblEmployee[[#This Row],[EndDate]]-tblEmployee[[#This Row],[StartDate]]&gt;90))</f>
        <v>0</v>
      </c>
    </row>
    <row r="113" spans="1:7" x14ac:dyDescent="0.3">
      <c r="A113">
        <v>1666</v>
      </c>
      <c r="B113" s="1">
        <v>39399</v>
      </c>
      <c r="C113" s="1"/>
      <c r="E113" t="b">
        <f>NOT(OR(ISBLANK(tblEmployee[[#This Row],[EndDate]]),tblEmployee[[#This Row],[EndDate]]-tblEmployee[[#This Row],[StartDate]]&gt;90))</f>
        <v>0</v>
      </c>
    </row>
    <row r="114" spans="1:7" x14ac:dyDescent="0.3">
      <c r="A114">
        <v>1674</v>
      </c>
      <c r="B114" s="1">
        <v>40165</v>
      </c>
      <c r="C114" s="1"/>
      <c r="E114" t="b">
        <f>NOT(OR(ISBLANK(tblEmployee[[#This Row],[EndDate]]),tblEmployee[[#This Row],[EndDate]]-tblEmployee[[#This Row],[StartDate]]&gt;90))</f>
        <v>0</v>
      </c>
    </row>
    <row r="115" spans="1:7" x14ac:dyDescent="0.3">
      <c r="A115">
        <v>1681</v>
      </c>
      <c r="B115" s="1">
        <v>38823</v>
      </c>
      <c r="C115" s="1"/>
      <c r="E115" t="b">
        <f>NOT(OR(ISBLANK(tblEmployee[[#This Row],[EndDate]]),tblEmployee[[#This Row],[EndDate]]-tblEmployee[[#This Row],[StartDate]]&gt;90))</f>
        <v>0</v>
      </c>
    </row>
    <row r="116" spans="1:7" x14ac:dyDescent="0.3">
      <c r="A116">
        <v>1697</v>
      </c>
      <c r="B116" s="1">
        <v>37884</v>
      </c>
      <c r="C116" s="1"/>
      <c r="E116" t="b">
        <f>NOT(OR(ISBLANK(tblEmployee[[#This Row],[EndDate]]),tblEmployee[[#This Row],[EndDate]]-tblEmployee[[#This Row],[StartDate]]&gt;90))</f>
        <v>0</v>
      </c>
    </row>
    <row r="117" spans="1:7" x14ac:dyDescent="0.3">
      <c r="A117">
        <v>1699</v>
      </c>
      <c r="B117" s="1">
        <v>40649</v>
      </c>
      <c r="C117" s="1"/>
      <c r="E117" t="b">
        <f>NOT(OR(ISBLANK(tblEmployee[[#This Row],[EndDate]]),tblEmployee[[#This Row],[EndDate]]-tblEmployee[[#This Row],[StartDate]]&gt;90))</f>
        <v>0</v>
      </c>
    </row>
    <row r="118" spans="1:7" x14ac:dyDescent="0.3">
      <c r="A118">
        <v>1701</v>
      </c>
      <c r="B118" s="1">
        <v>40155</v>
      </c>
      <c r="C118" s="1"/>
      <c r="E118" t="b">
        <f>NOT(OR(ISBLANK(tblEmployee[[#This Row],[EndDate]]),tblEmployee[[#This Row],[EndDate]]-tblEmployee[[#This Row],[StartDate]]&gt;90))</f>
        <v>0</v>
      </c>
    </row>
    <row r="119" spans="1:7" x14ac:dyDescent="0.3">
      <c r="A119">
        <v>1708</v>
      </c>
      <c r="B119" s="1">
        <v>38275</v>
      </c>
      <c r="C119" s="1"/>
      <c r="E119" t="b">
        <f>NOT(OR(ISBLANK(tblEmployee[[#This Row],[EndDate]]),tblEmployee[[#This Row],[EndDate]]-tblEmployee[[#This Row],[StartDate]]&gt;90))</f>
        <v>0</v>
      </c>
    </row>
    <row r="120" spans="1:7" x14ac:dyDescent="0.3">
      <c r="A120">
        <v>1709</v>
      </c>
      <c r="B120" s="1">
        <v>40383</v>
      </c>
      <c r="C120" s="1"/>
      <c r="E120" t="b">
        <f>NOT(OR(ISBLANK(tblEmployee[[#This Row],[EndDate]]),tblEmployee[[#This Row],[EndDate]]-tblEmployee[[#This Row],[StartDate]]&gt;90))</f>
        <v>0</v>
      </c>
    </row>
    <row r="121" spans="1:7" x14ac:dyDescent="0.3">
      <c r="A121">
        <v>1725</v>
      </c>
      <c r="B121" s="1">
        <v>41365</v>
      </c>
      <c r="C121" s="1"/>
      <c r="E121" t="b">
        <f>NOT(OR(ISBLANK(tblEmployee[[#This Row],[EndDate]]),tblEmployee[[#This Row],[EndDate]]-tblEmployee[[#This Row],[StartDate]]&gt;90))</f>
        <v>0</v>
      </c>
      <c r="G121" s="4"/>
    </row>
    <row r="122" spans="1:7" x14ac:dyDescent="0.3">
      <c r="A122">
        <v>1726</v>
      </c>
      <c r="B122" s="1">
        <v>40839</v>
      </c>
      <c r="C122" s="1"/>
      <c r="E122" t="b">
        <f>NOT(OR(ISBLANK(tblEmployee[[#This Row],[EndDate]]),tblEmployee[[#This Row],[EndDate]]-tblEmployee[[#This Row],[StartDate]]&gt;90))</f>
        <v>0</v>
      </c>
      <c r="G122" s="4"/>
    </row>
    <row r="123" spans="1:7" x14ac:dyDescent="0.3">
      <c r="A123">
        <v>1727</v>
      </c>
      <c r="B123" s="1">
        <v>43011</v>
      </c>
      <c r="C123" s="1"/>
      <c r="E123" t="b">
        <f>NOT(OR(ISBLANK(tblEmployee[[#This Row],[EndDate]]),tblEmployee[[#This Row],[EndDate]]-tblEmployee[[#This Row],[StartDate]]&gt;90))</f>
        <v>0</v>
      </c>
    </row>
    <row r="124" spans="1:7" x14ac:dyDescent="0.3">
      <c r="A124">
        <v>1733</v>
      </c>
      <c r="B124" s="1">
        <v>39747</v>
      </c>
      <c r="C124" s="1"/>
      <c r="E124" t="b">
        <f>NOT(OR(ISBLANK(tblEmployee[[#This Row],[EndDate]]),tblEmployee[[#This Row],[EndDate]]-tblEmployee[[#This Row],[StartDate]]&gt;90))</f>
        <v>0</v>
      </c>
    </row>
    <row r="125" spans="1:7" x14ac:dyDescent="0.3">
      <c r="A125">
        <v>1737</v>
      </c>
      <c r="B125" s="1">
        <v>41643</v>
      </c>
      <c r="C125" s="1"/>
      <c r="E125" t="b">
        <f>NOT(OR(ISBLANK(tblEmployee[[#This Row],[EndDate]]),tblEmployee[[#This Row],[EndDate]]-tblEmployee[[#This Row],[StartDate]]&gt;90))</f>
        <v>0</v>
      </c>
    </row>
    <row r="126" spans="1:7" x14ac:dyDescent="0.3">
      <c r="A126">
        <v>1744</v>
      </c>
      <c r="B126" s="1">
        <v>38108</v>
      </c>
      <c r="C126" s="1"/>
      <c r="E126" t="b">
        <f>NOT(OR(ISBLANK(tblEmployee[[#This Row],[EndDate]]),tblEmployee[[#This Row],[EndDate]]-tblEmployee[[#This Row],[StartDate]]&gt;90))</f>
        <v>0</v>
      </c>
    </row>
    <row r="127" spans="1:7" x14ac:dyDescent="0.3">
      <c r="A127">
        <v>1782</v>
      </c>
      <c r="B127" s="1">
        <v>42615</v>
      </c>
      <c r="C127" s="1"/>
      <c r="E127" t="b">
        <f>NOT(OR(ISBLANK(tblEmployee[[#This Row],[EndDate]]),tblEmployee[[#This Row],[EndDate]]-tblEmployee[[#This Row],[StartDate]]&gt;90))</f>
        <v>0</v>
      </c>
    </row>
    <row r="128" spans="1:7" x14ac:dyDescent="0.3">
      <c r="A128">
        <v>1783</v>
      </c>
      <c r="B128" s="1">
        <v>40433</v>
      </c>
      <c r="C128" s="1"/>
      <c r="E128" t="b">
        <f>NOT(OR(ISBLANK(tblEmployee[[#This Row],[EndDate]]),tblEmployee[[#This Row],[EndDate]]-tblEmployee[[#This Row],[StartDate]]&gt;90))</f>
        <v>0</v>
      </c>
    </row>
    <row r="129" spans="1:7" x14ac:dyDescent="0.3">
      <c r="A129">
        <v>1785</v>
      </c>
      <c r="B129" s="1">
        <v>44102</v>
      </c>
      <c r="C129" s="1"/>
      <c r="E129" t="b">
        <f>NOT(OR(ISBLANK(tblEmployee[[#This Row],[EndDate]]),tblEmployee[[#This Row],[EndDate]]-tblEmployee[[#This Row],[StartDate]]&gt;90))</f>
        <v>0</v>
      </c>
    </row>
    <row r="130" spans="1:7" x14ac:dyDescent="0.3">
      <c r="A130">
        <v>1793</v>
      </c>
      <c r="B130" s="1">
        <v>38011</v>
      </c>
      <c r="C130" s="1">
        <v>38165</v>
      </c>
      <c r="D130" t="s">
        <v>25</v>
      </c>
      <c r="E130" t="b">
        <f>NOT(OR(ISBLANK(tblEmployee[[#This Row],[EndDate]]),tblEmployee[[#This Row],[EndDate]]-tblEmployee[[#This Row],[StartDate]]&gt;90))</f>
        <v>0</v>
      </c>
    </row>
    <row r="131" spans="1:7" x14ac:dyDescent="0.3">
      <c r="A131">
        <v>1794</v>
      </c>
      <c r="B131" s="1">
        <v>42906</v>
      </c>
      <c r="C131" s="1"/>
      <c r="E131" t="b">
        <f>NOT(OR(ISBLANK(tblEmployee[[#This Row],[EndDate]]),tblEmployee[[#This Row],[EndDate]]-tblEmployee[[#This Row],[StartDate]]&gt;90))</f>
        <v>0</v>
      </c>
    </row>
    <row r="132" spans="1:7" x14ac:dyDescent="0.3">
      <c r="A132">
        <v>1797</v>
      </c>
      <c r="B132" s="1">
        <v>38378</v>
      </c>
      <c r="C132" s="1"/>
      <c r="E132" t="b">
        <f>NOT(OR(ISBLANK(tblEmployee[[#This Row],[EndDate]]),tblEmployee[[#This Row],[EndDate]]-tblEmployee[[#This Row],[StartDate]]&gt;90))</f>
        <v>0</v>
      </c>
    </row>
    <row r="133" spans="1:7" x14ac:dyDescent="0.3">
      <c r="A133">
        <v>1802</v>
      </c>
      <c r="B133" s="1">
        <v>43079</v>
      </c>
      <c r="C133" s="1">
        <v>43654</v>
      </c>
      <c r="D133" t="s">
        <v>25</v>
      </c>
      <c r="E133" t="b">
        <f>NOT(OR(ISBLANK(tblEmployee[[#This Row],[EndDate]]),tblEmployee[[#This Row],[EndDate]]-tblEmployee[[#This Row],[StartDate]]&gt;90))</f>
        <v>0</v>
      </c>
    </row>
    <row r="134" spans="1:7" x14ac:dyDescent="0.3">
      <c r="A134">
        <v>1806</v>
      </c>
      <c r="B134" s="1">
        <v>43161</v>
      </c>
      <c r="C134" s="1"/>
      <c r="E134" t="b">
        <f>NOT(OR(ISBLANK(tblEmployee[[#This Row],[EndDate]]),tblEmployee[[#This Row],[EndDate]]-tblEmployee[[#This Row],[StartDate]]&gt;90))</f>
        <v>0</v>
      </c>
    </row>
    <row r="135" spans="1:7" x14ac:dyDescent="0.3">
      <c r="A135">
        <v>1809</v>
      </c>
      <c r="B135" s="1">
        <v>41985</v>
      </c>
      <c r="C135" s="1"/>
      <c r="E135" t="b">
        <f>NOT(OR(ISBLANK(tblEmployee[[#This Row],[EndDate]]),tblEmployee[[#This Row],[EndDate]]-tblEmployee[[#This Row],[StartDate]]&gt;90))</f>
        <v>0</v>
      </c>
    </row>
    <row r="136" spans="1:7" x14ac:dyDescent="0.3">
      <c r="A136">
        <v>1838</v>
      </c>
      <c r="B136" s="1">
        <v>43319</v>
      </c>
      <c r="C136" s="1">
        <v>43690</v>
      </c>
      <c r="D136" t="s">
        <v>27</v>
      </c>
      <c r="E136" t="b">
        <f>NOT(OR(ISBLANK(tblEmployee[[#This Row],[EndDate]]),tblEmployee[[#This Row],[EndDate]]-tblEmployee[[#This Row],[StartDate]]&gt;90))</f>
        <v>0</v>
      </c>
    </row>
    <row r="137" spans="1:7" x14ac:dyDescent="0.3">
      <c r="A137">
        <v>1840</v>
      </c>
      <c r="B137" s="1">
        <v>42609</v>
      </c>
      <c r="C137" s="1">
        <v>42881</v>
      </c>
      <c r="D137" t="s">
        <v>27</v>
      </c>
      <c r="E137" t="b">
        <f>NOT(OR(ISBLANK(tblEmployee[[#This Row],[EndDate]]),tblEmployee[[#This Row],[EndDate]]-tblEmployee[[#This Row],[StartDate]]&gt;90))</f>
        <v>0</v>
      </c>
      <c r="G137" s="4"/>
    </row>
    <row r="138" spans="1:7" x14ac:dyDescent="0.3">
      <c r="A138">
        <v>1858</v>
      </c>
      <c r="B138" s="1">
        <v>38671</v>
      </c>
      <c r="C138" s="1"/>
      <c r="E138" t="b">
        <f>NOT(OR(ISBLANK(tblEmployee[[#This Row],[EndDate]]),tblEmployee[[#This Row],[EndDate]]-tblEmployee[[#This Row],[StartDate]]&gt;90))</f>
        <v>0</v>
      </c>
    </row>
    <row r="139" spans="1:7" x14ac:dyDescent="0.3">
      <c r="A139">
        <v>1860</v>
      </c>
      <c r="B139" s="1">
        <v>43426</v>
      </c>
      <c r="C139" s="1"/>
      <c r="E139" t="b">
        <f>NOT(OR(ISBLANK(tblEmployee[[#This Row],[EndDate]]),tblEmployee[[#This Row],[EndDate]]-tblEmployee[[#This Row],[StartDate]]&gt;90))</f>
        <v>0</v>
      </c>
    </row>
    <row r="140" spans="1:7" x14ac:dyDescent="0.3">
      <c r="A140">
        <v>1877</v>
      </c>
      <c r="B140" s="1">
        <v>38779</v>
      </c>
      <c r="C140" s="1"/>
      <c r="E140" t="b">
        <f>NOT(OR(ISBLANK(tblEmployee[[#This Row],[EndDate]]),tblEmployee[[#This Row],[EndDate]]-tblEmployee[[#This Row],[StartDate]]&gt;90))</f>
        <v>0</v>
      </c>
    </row>
    <row r="141" spans="1:7" x14ac:dyDescent="0.3">
      <c r="A141">
        <v>1878</v>
      </c>
      <c r="B141" s="1">
        <v>40610</v>
      </c>
      <c r="C141" s="1"/>
      <c r="E141" t="b">
        <f>NOT(OR(ISBLANK(tblEmployee[[#This Row],[EndDate]]),tblEmployee[[#This Row],[EndDate]]-tblEmployee[[#This Row],[StartDate]]&gt;90))</f>
        <v>0</v>
      </c>
    </row>
    <row r="142" spans="1:7" x14ac:dyDescent="0.3">
      <c r="A142">
        <v>1881</v>
      </c>
      <c r="B142" s="1">
        <v>41743</v>
      </c>
      <c r="C142" s="1"/>
      <c r="E142" t="b">
        <f>NOT(OR(ISBLANK(tblEmployee[[#This Row],[EndDate]]),tblEmployee[[#This Row],[EndDate]]-tblEmployee[[#This Row],[StartDate]]&gt;90))</f>
        <v>0</v>
      </c>
    </row>
    <row r="143" spans="1:7" x14ac:dyDescent="0.3">
      <c r="A143">
        <v>1883</v>
      </c>
      <c r="B143" s="1">
        <v>39775</v>
      </c>
      <c r="C143" s="1"/>
      <c r="E143" t="b">
        <f>NOT(OR(ISBLANK(tblEmployee[[#This Row],[EndDate]]),tblEmployee[[#This Row],[EndDate]]-tblEmployee[[#This Row],[StartDate]]&gt;90))</f>
        <v>0</v>
      </c>
    </row>
    <row r="144" spans="1:7" x14ac:dyDescent="0.3">
      <c r="A144">
        <v>1888</v>
      </c>
      <c r="B144" s="1">
        <v>39981</v>
      </c>
      <c r="C144" s="1"/>
      <c r="E144" t="b">
        <f>NOT(OR(ISBLANK(tblEmployee[[#This Row],[EndDate]]),tblEmployee[[#This Row],[EndDate]]-tblEmployee[[#This Row],[StartDate]]&gt;90))</f>
        <v>0</v>
      </c>
    </row>
    <row r="145" spans="1:7" x14ac:dyDescent="0.3">
      <c r="A145">
        <v>1891</v>
      </c>
      <c r="B145" s="1">
        <v>38650</v>
      </c>
      <c r="C145" s="1"/>
      <c r="E145" t="b">
        <f>NOT(OR(ISBLANK(tblEmployee[[#This Row],[EndDate]]),tblEmployee[[#This Row],[EndDate]]-tblEmployee[[#This Row],[StartDate]]&gt;90))</f>
        <v>0</v>
      </c>
    </row>
    <row r="146" spans="1:7" x14ac:dyDescent="0.3">
      <c r="A146">
        <v>1894</v>
      </c>
      <c r="B146" s="1">
        <v>43111</v>
      </c>
      <c r="C146" s="1"/>
      <c r="E146" t="b">
        <f>NOT(OR(ISBLANK(tblEmployee[[#This Row],[EndDate]]),tblEmployee[[#This Row],[EndDate]]-tblEmployee[[#This Row],[StartDate]]&gt;90))</f>
        <v>0</v>
      </c>
    </row>
    <row r="147" spans="1:7" x14ac:dyDescent="0.3">
      <c r="A147">
        <v>1901</v>
      </c>
      <c r="B147" s="1">
        <v>38289</v>
      </c>
      <c r="C147" s="1"/>
      <c r="E147" t="b">
        <f>NOT(OR(ISBLANK(tblEmployee[[#This Row],[EndDate]]),tblEmployee[[#This Row],[EndDate]]-tblEmployee[[#This Row],[StartDate]]&gt;90))</f>
        <v>0</v>
      </c>
    </row>
    <row r="148" spans="1:7" x14ac:dyDescent="0.3">
      <c r="A148">
        <v>1935</v>
      </c>
      <c r="B148" s="1">
        <v>39763</v>
      </c>
      <c r="C148" s="1"/>
      <c r="E148" t="b">
        <f>NOT(OR(ISBLANK(tblEmployee[[#This Row],[EndDate]]),tblEmployee[[#This Row],[EndDate]]-tblEmployee[[#This Row],[StartDate]]&gt;90))</f>
        <v>0</v>
      </c>
    </row>
    <row r="149" spans="1:7" x14ac:dyDescent="0.3">
      <c r="A149">
        <v>1939</v>
      </c>
      <c r="B149" s="1">
        <v>43100</v>
      </c>
      <c r="C149" s="1"/>
      <c r="E149" t="b">
        <f>NOT(OR(ISBLANK(tblEmployee[[#This Row],[EndDate]]),tblEmployee[[#This Row],[EndDate]]-tblEmployee[[#This Row],[StartDate]]&gt;90))</f>
        <v>0</v>
      </c>
    </row>
    <row r="150" spans="1:7" x14ac:dyDescent="0.3">
      <c r="A150">
        <v>1949</v>
      </c>
      <c r="B150" s="1">
        <v>38863</v>
      </c>
      <c r="C150" s="1"/>
      <c r="E150" t="b">
        <f>NOT(OR(ISBLANK(tblEmployee[[#This Row],[EndDate]]),tblEmployee[[#This Row],[EndDate]]-tblEmployee[[#This Row],[StartDate]]&gt;90))</f>
        <v>0</v>
      </c>
      <c r="G150" s="4"/>
    </row>
    <row r="151" spans="1:7" x14ac:dyDescent="0.3">
      <c r="A151">
        <v>1955</v>
      </c>
      <c r="B151" s="1">
        <v>42847</v>
      </c>
      <c r="C151" s="1"/>
      <c r="E151" t="b">
        <f>NOT(OR(ISBLANK(tblEmployee[[#This Row],[EndDate]]),tblEmployee[[#This Row],[EndDate]]-tblEmployee[[#This Row],[StartDate]]&gt;90))</f>
        <v>0</v>
      </c>
    </row>
    <row r="152" spans="1:7" x14ac:dyDescent="0.3">
      <c r="A152">
        <v>1966</v>
      </c>
      <c r="B152" s="1">
        <v>43787</v>
      </c>
      <c r="C152" s="1">
        <v>44240</v>
      </c>
      <c r="D152" t="s">
        <v>27</v>
      </c>
      <c r="E152" t="b">
        <f>NOT(OR(ISBLANK(tblEmployee[[#This Row],[EndDate]]),tblEmployee[[#This Row],[EndDate]]-tblEmployee[[#This Row],[StartDate]]&gt;90))</f>
        <v>0</v>
      </c>
    </row>
    <row r="153" spans="1:7" x14ac:dyDescent="0.3">
      <c r="A153">
        <v>1967</v>
      </c>
      <c r="B153" s="1">
        <v>39780</v>
      </c>
      <c r="C153" s="1"/>
      <c r="E153" t="b">
        <f>NOT(OR(ISBLANK(tblEmployee[[#This Row],[EndDate]]),tblEmployee[[#This Row],[EndDate]]-tblEmployee[[#This Row],[StartDate]]&gt;90))</f>
        <v>0</v>
      </c>
    </row>
    <row r="154" spans="1:7" x14ac:dyDescent="0.3">
      <c r="A154">
        <v>1979</v>
      </c>
      <c r="B154" s="1">
        <v>43642</v>
      </c>
      <c r="C154" s="1"/>
      <c r="E154" t="b">
        <f>NOT(OR(ISBLANK(tblEmployee[[#This Row],[EndDate]]),tblEmployee[[#This Row],[EndDate]]-tblEmployee[[#This Row],[StartDate]]&gt;90))</f>
        <v>0</v>
      </c>
    </row>
    <row r="155" spans="1:7" x14ac:dyDescent="0.3">
      <c r="A155">
        <v>1984</v>
      </c>
      <c r="B155" s="1">
        <v>41849</v>
      </c>
      <c r="C155" s="1"/>
      <c r="E155" t="b">
        <f>NOT(OR(ISBLANK(tblEmployee[[#This Row],[EndDate]]),tblEmployee[[#This Row],[EndDate]]-tblEmployee[[#This Row],[StartDate]]&gt;90))</f>
        <v>0</v>
      </c>
    </row>
    <row r="156" spans="1:7" x14ac:dyDescent="0.3">
      <c r="A156">
        <v>1985</v>
      </c>
      <c r="B156" s="1">
        <v>42606</v>
      </c>
      <c r="C156" s="1"/>
      <c r="E156" t="b">
        <f>NOT(OR(ISBLANK(tblEmployee[[#This Row],[EndDate]]),tblEmployee[[#This Row],[EndDate]]-tblEmployee[[#This Row],[StartDate]]&gt;90))</f>
        <v>0</v>
      </c>
    </row>
    <row r="157" spans="1:7" x14ac:dyDescent="0.3">
      <c r="A157">
        <v>1986</v>
      </c>
      <c r="B157" s="1">
        <v>43053</v>
      </c>
      <c r="C157" s="1">
        <v>43899</v>
      </c>
      <c r="D157" t="s">
        <v>26</v>
      </c>
      <c r="E157" t="b">
        <f>NOT(OR(ISBLANK(tblEmployee[[#This Row],[EndDate]]),tblEmployee[[#This Row],[EndDate]]-tblEmployee[[#This Row],[StartDate]]&gt;90))</f>
        <v>0</v>
      </c>
    </row>
    <row r="158" spans="1:7" x14ac:dyDescent="0.3">
      <c r="A158">
        <v>1987</v>
      </c>
      <c r="B158" s="1">
        <v>37465</v>
      </c>
      <c r="C158" s="1"/>
      <c r="E158" t="b">
        <f>NOT(OR(ISBLANK(tblEmployee[[#This Row],[EndDate]]),tblEmployee[[#This Row],[EndDate]]-tblEmployee[[#This Row],[StartDate]]&gt;90))</f>
        <v>0</v>
      </c>
    </row>
    <row r="159" spans="1:7" x14ac:dyDescent="0.3">
      <c r="A159">
        <v>1993</v>
      </c>
      <c r="B159" s="1">
        <v>41442</v>
      </c>
      <c r="C159" s="1"/>
      <c r="E159" t="b">
        <f>NOT(OR(ISBLANK(tblEmployee[[#This Row],[EndDate]]),tblEmployee[[#This Row],[EndDate]]-tblEmployee[[#This Row],[StartDate]]&gt;90))</f>
        <v>0</v>
      </c>
    </row>
    <row r="160" spans="1:7" x14ac:dyDescent="0.3">
      <c r="A160">
        <v>2001</v>
      </c>
      <c r="B160" s="1">
        <v>40267</v>
      </c>
      <c r="C160" s="1"/>
      <c r="E160" t="b">
        <f>NOT(OR(ISBLANK(tblEmployee[[#This Row],[EndDate]]),tblEmployee[[#This Row],[EndDate]]-tblEmployee[[#This Row],[StartDate]]&gt;90))</f>
        <v>0</v>
      </c>
    </row>
    <row r="161" spans="1:5" x14ac:dyDescent="0.3">
      <c r="A161">
        <v>2002</v>
      </c>
      <c r="B161" s="1">
        <v>39119</v>
      </c>
      <c r="C161" s="1"/>
      <c r="E161" t="b">
        <f>NOT(OR(ISBLANK(tblEmployee[[#This Row],[EndDate]]),tblEmployee[[#This Row],[EndDate]]-tblEmployee[[#This Row],[StartDate]]&gt;90))</f>
        <v>0</v>
      </c>
    </row>
    <row r="162" spans="1:5" x14ac:dyDescent="0.3">
      <c r="A162">
        <v>2021</v>
      </c>
      <c r="B162" s="1">
        <v>41168</v>
      </c>
      <c r="C162" s="1"/>
      <c r="E162" t="b">
        <f>NOT(OR(ISBLANK(tblEmployee[[#This Row],[EndDate]]),tblEmployee[[#This Row],[EndDate]]-tblEmployee[[#This Row],[StartDate]]&gt;90))</f>
        <v>0</v>
      </c>
    </row>
    <row r="163" spans="1:5" x14ac:dyDescent="0.3">
      <c r="A163">
        <v>2022</v>
      </c>
      <c r="B163" s="1">
        <v>41870</v>
      </c>
      <c r="C163" s="1"/>
      <c r="E163" t="b">
        <f>NOT(OR(ISBLANK(tblEmployee[[#This Row],[EndDate]]),tblEmployee[[#This Row],[EndDate]]-tblEmployee[[#This Row],[StartDate]]&gt;90))</f>
        <v>0</v>
      </c>
    </row>
    <row r="164" spans="1:5" x14ac:dyDescent="0.3">
      <c r="A164">
        <v>2023</v>
      </c>
      <c r="B164" s="1">
        <v>42797</v>
      </c>
      <c r="C164" s="1"/>
      <c r="E164" t="b">
        <f>NOT(OR(ISBLANK(tblEmployee[[#This Row],[EndDate]]),tblEmployee[[#This Row],[EndDate]]-tblEmployee[[#This Row],[StartDate]]&gt;90))</f>
        <v>0</v>
      </c>
    </row>
    <row r="165" spans="1:5" x14ac:dyDescent="0.3">
      <c r="A165">
        <v>2028</v>
      </c>
      <c r="B165" s="1">
        <v>40751</v>
      </c>
      <c r="C165" s="1"/>
      <c r="E165" t="b">
        <f>NOT(OR(ISBLANK(tblEmployee[[#This Row],[EndDate]]),tblEmployee[[#This Row],[EndDate]]-tblEmployee[[#This Row],[StartDate]]&gt;90))</f>
        <v>0</v>
      </c>
    </row>
    <row r="166" spans="1:5" x14ac:dyDescent="0.3">
      <c r="A166">
        <v>2031</v>
      </c>
      <c r="B166" s="1">
        <v>43305</v>
      </c>
      <c r="C166" s="1"/>
      <c r="E166" t="b">
        <f>NOT(OR(ISBLANK(tblEmployee[[#This Row],[EndDate]]),tblEmployee[[#This Row],[EndDate]]-tblEmployee[[#This Row],[StartDate]]&gt;90))</f>
        <v>0</v>
      </c>
    </row>
    <row r="167" spans="1:5" x14ac:dyDescent="0.3">
      <c r="A167">
        <v>2039</v>
      </c>
      <c r="B167" s="1">
        <v>42946</v>
      </c>
      <c r="C167" s="1"/>
      <c r="E167" t="b">
        <f>NOT(OR(ISBLANK(tblEmployee[[#This Row],[EndDate]]),tblEmployee[[#This Row],[EndDate]]-tblEmployee[[#This Row],[StartDate]]&gt;90))</f>
        <v>0</v>
      </c>
    </row>
    <row r="168" spans="1:5" x14ac:dyDescent="0.3">
      <c r="A168">
        <v>2055</v>
      </c>
      <c r="B168" s="1">
        <v>38296</v>
      </c>
      <c r="C168" s="1"/>
      <c r="E168" t="b">
        <f>NOT(OR(ISBLANK(tblEmployee[[#This Row],[EndDate]]),tblEmployee[[#This Row],[EndDate]]-tblEmployee[[#This Row],[StartDate]]&gt;90))</f>
        <v>0</v>
      </c>
    </row>
    <row r="169" spans="1:5" x14ac:dyDescent="0.3">
      <c r="A169">
        <v>2056</v>
      </c>
      <c r="B169" s="1">
        <v>38198</v>
      </c>
      <c r="C169" s="1"/>
      <c r="E169" t="b">
        <f>NOT(OR(ISBLANK(tblEmployee[[#This Row],[EndDate]]),tblEmployee[[#This Row],[EndDate]]-tblEmployee[[#This Row],[StartDate]]&gt;90))</f>
        <v>0</v>
      </c>
    </row>
    <row r="170" spans="1:5" x14ac:dyDescent="0.3">
      <c r="A170">
        <v>2064</v>
      </c>
      <c r="B170" s="1">
        <v>44445</v>
      </c>
      <c r="C170" s="1">
        <v>44472</v>
      </c>
      <c r="D170" t="s">
        <v>29</v>
      </c>
      <c r="E170" t="b">
        <f>NOT(OR(ISBLANK(tblEmployee[[#This Row],[EndDate]]),tblEmployee[[#This Row],[EndDate]]-tblEmployee[[#This Row],[StartDate]]&gt;90))</f>
        <v>1</v>
      </c>
    </row>
    <row r="171" spans="1:5" x14ac:dyDescent="0.3">
      <c r="A171">
        <v>2065</v>
      </c>
      <c r="B171" s="1">
        <v>41031</v>
      </c>
      <c r="C171" s="1"/>
      <c r="E171" t="b">
        <f>NOT(OR(ISBLANK(tblEmployee[[#This Row],[EndDate]]),tblEmployee[[#This Row],[EndDate]]-tblEmployee[[#This Row],[StartDate]]&gt;90))</f>
        <v>0</v>
      </c>
    </row>
    <row r="172" spans="1:5" x14ac:dyDescent="0.3">
      <c r="A172">
        <v>2075</v>
      </c>
      <c r="B172" s="1">
        <v>41123</v>
      </c>
      <c r="C172" s="1"/>
      <c r="E172" t="b">
        <f>NOT(OR(ISBLANK(tblEmployee[[#This Row],[EndDate]]),tblEmployee[[#This Row],[EndDate]]-tblEmployee[[#This Row],[StartDate]]&gt;90))</f>
        <v>0</v>
      </c>
    </row>
    <row r="173" spans="1:5" x14ac:dyDescent="0.3">
      <c r="A173">
        <v>2080</v>
      </c>
      <c r="B173" s="1">
        <v>43416</v>
      </c>
      <c r="C173" s="1"/>
      <c r="E173" t="b">
        <f>NOT(OR(ISBLANK(tblEmployee[[#This Row],[EndDate]]),tblEmployee[[#This Row],[EndDate]]-tblEmployee[[#This Row],[StartDate]]&gt;90))</f>
        <v>0</v>
      </c>
    </row>
    <row r="174" spans="1:5" x14ac:dyDescent="0.3">
      <c r="A174">
        <v>2081</v>
      </c>
      <c r="B174" s="1">
        <v>39417</v>
      </c>
      <c r="C174" s="1"/>
      <c r="E174" t="b">
        <f>NOT(OR(ISBLANK(tblEmployee[[#This Row],[EndDate]]),tblEmployee[[#This Row],[EndDate]]-tblEmployee[[#This Row],[StartDate]]&gt;90))</f>
        <v>0</v>
      </c>
    </row>
    <row r="175" spans="1:5" x14ac:dyDescent="0.3">
      <c r="A175">
        <v>2093</v>
      </c>
      <c r="B175" s="1">
        <v>43321</v>
      </c>
      <c r="C175" s="1"/>
      <c r="E175" t="b">
        <f>NOT(OR(ISBLANK(tblEmployee[[#This Row],[EndDate]]),tblEmployee[[#This Row],[EndDate]]-tblEmployee[[#This Row],[StartDate]]&gt;90))</f>
        <v>0</v>
      </c>
    </row>
    <row r="176" spans="1:5" x14ac:dyDescent="0.3">
      <c r="A176">
        <v>2105</v>
      </c>
      <c r="B176" s="1">
        <v>37639</v>
      </c>
      <c r="C176" s="1">
        <v>40264</v>
      </c>
      <c r="D176" t="s">
        <v>26</v>
      </c>
      <c r="E176" t="b">
        <f>NOT(OR(ISBLANK(tblEmployee[[#This Row],[EndDate]]),tblEmployee[[#This Row],[EndDate]]-tblEmployee[[#This Row],[StartDate]]&gt;90))</f>
        <v>0</v>
      </c>
    </row>
    <row r="177" spans="1:7" x14ac:dyDescent="0.3">
      <c r="A177">
        <v>2107</v>
      </c>
      <c r="B177" s="1">
        <v>40346</v>
      </c>
      <c r="C177" s="1"/>
      <c r="E177" t="b">
        <f>NOT(OR(ISBLANK(tblEmployee[[#This Row],[EndDate]]),tblEmployee[[#This Row],[EndDate]]-tblEmployee[[#This Row],[StartDate]]&gt;90))</f>
        <v>0</v>
      </c>
    </row>
    <row r="178" spans="1:7" x14ac:dyDescent="0.3">
      <c r="A178">
        <v>2109</v>
      </c>
      <c r="B178" s="1">
        <v>42094</v>
      </c>
      <c r="C178" s="1"/>
      <c r="E178" t="b">
        <f>NOT(OR(ISBLANK(tblEmployee[[#This Row],[EndDate]]),tblEmployee[[#This Row],[EndDate]]-tblEmployee[[#This Row],[StartDate]]&gt;90))</f>
        <v>0</v>
      </c>
    </row>
    <row r="179" spans="1:7" x14ac:dyDescent="0.3">
      <c r="A179">
        <v>2120</v>
      </c>
      <c r="B179" s="1">
        <v>38455</v>
      </c>
      <c r="C179" s="1"/>
      <c r="E179" t="b">
        <f>NOT(OR(ISBLANK(tblEmployee[[#This Row],[EndDate]]),tblEmployee[[#This Row],[EndDate]]-tblEmployee[[#This Row],[StartDate]]&gt;90))</f>
        <v>0</v>
      </c>
    </row>
    <row r="180" spans="1:7" x14ac:dyDescent="0.3">
      <c r="A180">
        <v>2129</v>
      </c>
      <c r="B180" s="1">
        <v>38058</v>
      </c>
      <c r="C180" s="1">
        <v>42893</v>
      </c>
      <c r="D180" t="s">
        <v>56</v>
      </c>
      <c r="E180" t="b">
        <f>NOT(OR(ISBLANK(tblEmployee[[#This Row],[EndDate]]),tblEmployee[[#This Row],[EndDate]]-tblEmployee[[#This Row],[StartDate]]&gt;90))</f>
        <v>0</v>
      </c>
    </row>
    <row r="181" spans="1:7" x14ac:dyDescent="0.3">
      <c r="A181">
        <v>2144</v>
      </c>
      <c r="B181" s="1">
        <v>43795</v>
      </c>
      <c r="C181" s="1"/>
      <c r="E181" t="b">
        <f>NOT(OR(ISBLANK(tblEmployee[[#This Row],[EndDate]]),tblEmployee[[#This Row],[EndDate]]-tblEmployee[[#This Row],[StartDate]]&gt;90))</f>
        <v>0</v>
      </c>
    </row>
    <row r="182" spans="1:7" x14ac:dyDescent="0.3">
      <c r="A182">
        <v>2154</v>
      </c>
      <c r="B182" s="1">
        <v>40321</v>
      </c>
      <c r="C182" s="1">
        <v>40824</v>
      </c>
      <c r="D182" t="s">
        <v>26</v>
      </c>
      <c r="E182" t="b">
        <f>NOT(OR(ISBLANK(tblEmployee[[#This Row],[EndDate]]),tblEmployee[[#This Row],[EndDate]]-tblEmployee[[#This Row],[StartDate]]&gt;90))</f>
        <v>0</v>
      </c>
    </row>
    <row r="183" spans="1:7" x14ac:dyDescent="0.3">
      <c r="A183">
        <v>2164</v>
      </c>
      <c r="B183" s="1">
        <v>44126</v>
      </c>
      <c r="C183" s="1"/>
      <c r="E183" t="b">
        <f>NOT(OR(ISBLANK(tblEmployee[[#This Row],[EndDate]]),tblEmployee[[#This Row],[EndDate]]-tblEmployee[[#This Row],[StartDate]]&gt;90))</f>
        <v>0</v>
      </c>
    </row>
    <row r="184" spans="1:7" x14ac:dyDescent="0.3">
      <c r="A184">
        <v>2166</v>
      </c>
      <c r="B184" s="1">
        <v>38228</v>
      </c>
      <c r="C184" s="1">
        <v>40353</v>
      </c>
      <c r="D184" t="s">
        <v>56</v>
      </c>
      <c r="E184" t="b">
        <f>NOT(OR(ISBLANK(tblEmployee[[#This Row],[EndDate]]),tblEmployee[[#This Row],[EndDate]]-tblEmployee[[#This Row],[StartDate]]&gt;90))</f>
        <v>0</v>
      </c>
    </row>
    <row r="185" spans="1:7" x14ac:dyDescent="0.3">
      <c r="A185">
        <v>2173</v>
      </c>
      <c r="B185" s="1">
        <v>41037</v>
      </c>
      <c r="C185" s="1"/>
      <c r="E185" t="b">
        <f>NOT(OR(ISBLANK(tblEmployee[[#This Row],[EndDate]]),tblEmployee[[#This Row],[EndDate]]-tblEmployee[[#This Row],[StartDate]]&gt;90))</f>
        <v>0</v>
      </c>
      <c r="G185" s="4"/>
    </row>
    <row r="186" spans="1:7" x14ac:dyDescent="0.3">
      <c r="A186">
        <v>2185</v>
      </c>
      <c r="B186" s="1">
        <v>41734</v>
      </c>
      <c r="C186" s="1"/>
      <c r="E186" t="b">
        <f>NOT(OR(ISBLANK(tblEmployee[[#This Row],[EndDate]]),tblEmployee[[#This Row],[EndDate]]-tblEmployee[[#This Row],[StartDate]]&gt;90))</f>
        <v>0</v>
      </c>
    </row>
    <row r="187" spans="1:7" x14ac:dyDescent="0.3">
      <c r="A187">
        <v>2198</v>
      </c>
      <c r="B187" s="1">
        <v>37555</v>
      </c>
      <c r="C187" s="1"/>
      <c r="E187" t="b">
        <f>NOT(OR(ISBLANK(tblEmployee[[#This Row],[EndDate]]),tblEmployee[[#This Row],[EndDate]]-tblEmployee[[#This Row],[StartDate]]&gt;90))</f>
        <v>0</v>
      </c>
    </row>
    <row r="188" spans="1:7" x14ac:dyDescent="0.3">
      <c r="A188">
        <v>2206</v>
      </c>
      <c r="B188" s="1">
        <v>42868</v>
      </c>
      <c r="C188" s="1"/>
      <c r="E188" t="b">
        <f>NOT(OR(ISBLANK(tblEmployee[[#This Row],[EndDate]]),tblEmployee[[#This Row],[EndDate]]-tblEmployee[[#This Row],[StartDate]]&gt;90))</f>
        <v>0</v>
      </c>
    </row>
    <row r="189" spans="1:7" x14ac:dyDescent="0.3">
      <c r="A189">
        <v>2220</v>
      </c>
      <c r="B189" s="1">
        <v>37683</v>
      </c>
      <c r="C189" s="1"/>
      <c r="E189" t="b">
        <f>NOT(OR(ISBLANK(tblEmployee[[#This Row],[EndDate]]),tblEmployee[[#This Row],[EndDate]]-tblEmployee[[#This Row],[StartDate]]&gt;90))</f>
        <v>0</v>
      </c>
    </row>
    <row r="190" spans="1:7" x14ac:dyDescent="0.3">
      <c r="A190">
        <v>2226</v>
      </c>
      <c r="B190" s="1">
        <v>42674</v>
      </c>
      <c r="C190" s="1"/>
      <c r="E190" t="b">
        <f>NOT(OR(ISBLANK(tblEmployee[[#This Row],[EndDate]]),tblEmployee[[#This Row],[EndDate]]-tblEmployee[[#This Row],[StartDate]]&gt;90))</f>
        <v>0</v>
      </c>
    </row>
    <row r="191" spans="1:7" x14ac:dyDescent="0.3">
      <c r="A191">
        <v>2231</v>
      </c>
      <c r="B191" s="1">
        <v>37804</v>
      </c>
      <c r="C191" s="1"/>
      <c r="E191" t="b">
        <f>NOT(OR(ISBLANK(tblEmployee[[#This Row],[EndDate]]),tblEmployee[[#This Row],[EndDate]]-tblEmployee[[#This Row],[StartDate]]&gt;90))</f>
        <v>0</v>
      </c>
    </row>
    <row r="192" spans="1:7" x14ac:dyDescent="0.3">
      <c r="A192">
        <v>2239</v>
      </c>
      <c r="B192" s="1">
        <v>40062</v>
      </c>
      <c r="C192" s="1"/>
      <c r="E192" t="b">
        <f>NOT(OR(ISBLANK(tblEmployee[[#This Row],[EndDate]]),tblEmployee[[#This Row],[EndDate]]-tblEmployee[[#This Row],[StartDate]]&gt;90))</f>
        <v>0</v>
      </c>
    </row>
    <row r="193" spans="1:5" x14ac:dyDescent="0.3">
      <c r="A193">
        <v>2246</v>
      </c>
      <c r="B193" s="1">
        <v>40826</v>
      </c>
      <c r="C193" s="1">
        <v>43266</v>
      </c>
      <c r="D193" t="s">
        <v>25</v>
      </c>
      <c r="E193" t="b">
        <f>NOT(OR(ISBLANK(tblEmployee[[#This Row],[EndDate]]),tblEmployee[[#This Row],[EndDate]]-tblEmployee[[#This Row],[StartDate]]&gt;90))</f>
        <v>0</v>
      </c>
    </row>
    <row r="194" spans="1:5" x14ac:dyDescent="0.3">
      <c r="A194">
        <v>2248</v>
      </c>
      <c r="B194" s="1">
        <v>42193</v>
      </c>
      <c r="C194" s="1"/>
      <c r="E194" t="b">
        <f>NOT(OR(ISBLANK(tblEmployee[[#This Row],[EndDate]]),tblEmployee[[#This Row],[EndDate]]-tblEmployee[[#This Row],[StartDate]]&gt;90))</f>
        <v>0</v>
      </c>
    </row>
    <row r="195" spans="1:5" x14ac:dyDescent="0.3">
      <c r="A195">
        <v>2254</v>
      </c>
      <c r="B195" s="1">
        <v>40270</v>
      </c>
      <c r="C195" s="1"/>
      <c r="E195" t="b">
        <f>NOT(OR(ISBLANK(tblEmployee[[#This Row],[EndDate]]),tblEmployee[[#This Row],[EndDate]]-tblEmployee[[#This Row],[StartDate]]&gt;90))</f>
        <v>0</v>
      </c>
    </row>
    <row r="196" spans="1:5" x14ac:dyDescent="0.3">
      <c r="A196">
        <v>2276</v>
      </c>
      <c r="B196" s="1">
        <v>37512</v>
      </c>
      <c r="C196" s="1"/>
      <c r="E196" t="b">
        <f>NOT(OR(ISBLANK(tblEmployee[[#This Row],[EndDate]]),tblEmployee[[#This Row],[EndDate]]-tblEmployee[[#This Row],[StartDate]]&gt;90))</f>
        <v>0</v>
      </c>
    </row>
    <row r="197" spans="1:5" x14ac:dyDescent="0.3">
      <c r="A197">
        <v>2304</v>
      </c>
      <c r="B197" s="1">
        <v>37934</v>
      </c>
      <c r="C197" s="1"/>
      <c r="E197" t="b">
        <f>NOT(OR(ISBLANK(tblEmployee[[#This Row],[EndDate]]),tblEmployee[[#This Row],[EndDate]]-tblEmployee[[#This Row],[StartDate]]&gt;90))</f>
        <v>0</v>
      </c>
    </row>
    <row r="198" spans="1:5" x14ac:dyDescent="0.3">
      <c r="A198">
        <v>2305</v>
      </c>
      <c r="B198" s="1">
        <v>41071</v>
      </c>
      <c r="C198" s="1"/>
      <c r="E198" t="b">
        <f>NOT(OR(ISBLANK(tblEmployee[[#This Row],[EndDate]]),tblEmployee[[#This Row],[EndDate]]-tblEmployee[[#This Row],[StartDate]]&gt;90))</f>
        <v>0</v>
      </c>
    </row>
    <row r="199" spans="1:5" x14ac:dyDescent="0.3">
      <c r="A199">
        <v>2312</v>
      </c>
      <c r="B199" s="1">
        <v>43978</v>
      </c>
      <c r="C199" s="1"/>
      <c r="E199" t="b">
        <f>NOT(OR(ISBLANK(tblEmployee[[#This Row],[EndDate]]),tblEmployee[[#This Row],[EndDate]]-tblEmployee[[#This Row],[StartDate]]&gt;90))</f>
        <v>0</v>
      </c>
    </row>
    <row r="200" spans="1:5" x14ac:dyDescent="0.3">
      <c r="A200">
        <v>2314</v>
      </c>
      <c r="B200" s="1">
        <v>40272</v>
      </c>
      <c r="C200" s="1"/>
      <c r="E200" t="b">
        <f>NOT(OR(ISBLANK(tblEmployee[[#This Row],[EndDate]]),tblEmployee[[#This Row],[EndDate]]-tblEmployee[[#This Row],[StartDate]]&gt;90))</f>
        <v>0</v>
      </c>
    </row>
    <row r="201" spans="1:5" x14ac:dyDescent="0.3">
      <c r="A201">
        <v>2323</v>
      </c>
      <c r="B201" s="1">
        <v>40471</v>
      </c>
      <c r="C201" s="1">
        <v>44068</v>
      </c>
      <c r="D201" t="s">
        <v>26</v>
      </c>
      <c r="E201" t="b">
        <f>NOT(OR(ISBLANK(tblEmployee[[#This Row],[EndDate]]),tblEmployee[[#This Row],[EndDate]]-tblEmployee[[#This Row],[StartDate]]&gt;90))</f>
        <v>0</v>
      </c>
    </row>
    <row r="202" spans="1:5" x14ac:dyDescent="0.3">
      <c r="A202">
        <v>2334</v>
      </c>
      <c r="B202" s="1">
        <v>38798</v>
      </c>
      <c r="C202" s="1"/>
      <c r="E202" t="b">
        <f>NOT(OR(ISBLANK(tblEmployee[[#This Row],[EndDate]]),tblEmployee[[#This Row],[EndDate]]-tblEmployee[[#This Row],[StartDate]]&gt;90))</f>
        <v>0</v>
      </c>
    </row>
    <row r="203" spans="1:5" x14ac:dyDescent="0.3">
      <c r="A203">
        <v>2335</v>
      </c>
      <c r="B203" s="1">
        <v>37766</v>
      </c>
      <c r="C203" s="1"/>
      <c r="E203" t="b">
        <f>NOT(OR(ISBLANK(tblEmployee[[#This Row],[EndDate]]),tblEmployee[[#This Row],[EndDate]]-tblEmployee[[#This Row],[StartDate]]&gt;90))</f>
        <v>0</v>
      </c>
    </row>
    <row r="204" spans="1:5" x14ac:dyDescent="0.3">
      <c r="A204">
        <v>2341</v>
      </c>
      <c r="B204" s="1">
        <v>39892</v>
      </c>
      <c r="C204" s="1"/>
      <c r="E204" t="b">
        <f>NOT(OR(ISBLANK(tblEmployee[[#This Row],[EndDate]]),tblEmployee[[#This Row],[EndDate]]-tblEmployee[[#This Row],[StartDate]]&gt;90))</f>
        <v>0</v>
      </c>
    </row>
    <row r="205" spans="1:5" x14ac:dyDescent="0.3">
      <c r="A205">
        <v>2343</v>
      </c>
      <c r="B205" s="1">
        <v>42969</v>
      </c>
      <c r="C205" s="1"/>
      <c r="E205" t="b">
        <f>NOT(OR(ISBLANK(tblEmployee[[#This Row],[EndDate]]),tblEmployee[[#This Row],[EndDate]]-tblEmployee[[#This Row],[StartDate]]&gt;90))</f>
        <v>0</v>
      </c>
    </row>
    <row r="206" spans="1:5" x14ac:dyDescent="0.3">
      <c r="A206">
        <v>2348</v>
      </c>
      <c r="B206" s="1">
        <v>41536</v>
      </c>
      <c r="C206" s="1"/>
      <c r="E206" t="b">
        <f>NOT(OR(ISBLANK(tblEmployee[[#This Row],[EndDate]]),tblEmployee[[#This Row],[EndDate]]-tblEmployee[[#This Row],[StartDate]]&gt;90))</f>
        <v>0</v>
      </c>
    </row>
    <row r="207" spans="1:5" x14ac:dyDescent="0.3">
      <c r="A207">
        <v>2349</v>
      </c>
      <c r="B207" s="1">
        <v>37379</v>
      </c>
      <c r="C207" s="1"/>
      <c r="E207" t="b">
        <f>NOT(OR(ISBLANK(tblEmployee[[#This Row],[EndDate]]),tblEmployee[[#This Row],[EndDate]]-tblEmployee[[#This Row],[StartDate]]&gt;90))</f>
        <v>0</v>
      </c>
    </row>
    <row r="208" spans="1:5" x14ac:dyDescent="0.3">
      <c r="A208">
        <v>2352</v>
      </c>
      <c r="B208" s="1">
        <v>39186</v>
      </c>
      <c r="C208" s="1"/>
      <c r="E208" t="b">
        <f>NOT(OR(ISBLANK(tblEmployee[[#This Row],[EndDate]]),tblEmployee[[#This Row],[EndDate]]-tblEmployee[[#This Row],[StartDate]]&gt;90))</f>
        <v>0</v>
      </c>
    </row>
    <row r="209" spans="1:7" x14ac:dyDescent="0.3">
      <c r="A209">
        <v>2353</v>
      </c>
      <c r="B209" s="1">
        <v>41367</v>
      </c>
      <c r="C209" s="1"/>
      <c r="E209" t="b">
        <f>NOT(OR(ISBLANK(tblEmployee[[#This Row],[EndDate]]),tblEmployee[[#This Row],[EndDate]]-tblEmployee[[#This Row],[StartDate]]&gt;90))</f>
        <v>0</v>
      </c>
      <c r="G209" s="4"/>
    </row>
    <row r="210" spans="1:7" x14ac:dyDescent="0.3">
      <c r="A210">
        <v>2358</v>
      </c>
      <c r="B210" s="1">
        <v>44096</v>
      </c>
      <c r="C210" s="1"/>
      <c r="E210" t="b">
        <f>NOT(OR(ISBLANK(tblEmployee[[#This Row],[EndDate]]),tblEmployee[[#This Row],[EndDate]]-tblEmployee[[#This Row],[StartDate]]&gt;90))</f>
        <v>0</v>
      </c>
    </row>
    <row r="211" spans="1:7" x14ac:dyDescent="0.3">
      <c r="A211">
        <v>2361</v>
      </c>
      <c r="B211" s="1">
        <v>40863</v>
      </c>
      <c r="C211" s="1"/>
      <c r="E211" t="b">
        <f>NOT(OR(ISBLANK(tblEmployee[[#This Row],[EndDate]]),tblEmployee[[#This Row],[EndDate]]-tblEmployee[[#This Row],[StartDate]]&gt;90))</f>
        <v>0</v>
      </c>
    </row>
    <row r="212" spans="1:7" x14ac:dyDescent="0.3">
      <c r="A212">
        <v>2364</v>
      </c>
      <c r="B212" s="1">
        <v>41285</v>
      </c>
      <c r="C212" s="1"/>
      <c r="E212" t="b">
        <f>NOT(OR(ISBLANK(tblEmployee[[#This Row],[EndDate]]),tblEmployee[[#This Row],[EndDate]]-tblEmployee[[#This Row],[StartDate]]&gt;90))</f>
        <v>0</v>
      </c>
    </row>
    <row r="213" spans="1:7" x14ac:dyDescent="0.3">
      <c r="A213">
        <v>2365</v>
      </c>
      <c r="B213" s="1">
        <v>41049</v>
      </c>
      <c r="C213" s="1"/>
      <c r="E213" t="b">
        <f>NOT(OR(ISBLANK(tblEmployee[[#This Row],[EndDate]]),tblEmployee[[#This Row],[EndDate]]-tblEmployee[[#This Row],[StartDate]]&gt;90))</f>
        <v>0</v>
      </c>
    </row>
    <row r="214" spans="1:7" x14ac:dyDescent="0.3">
      <c r="A214">
        <v>2368</v>
      </c>
      <c r="B214" s="1">
        <v>38857</v>
      </c>
      <c r="C214" s="1"/>
      <c r="E214" t="b">
        <f>NOT(OR(ISBLANK(tblEmployee[[#This Row],[EndDate]]),tblEmployee[[#This Row],[EndDate]]-tblEmployee[[#This Row],[StartDate]]&gt;90))</f>
        <v>0</v>
      </c>
    </row>
    <row r="215" spans="1:7" x14ac:dyDescent="0.3">
      <c r="A215">
        <v>2372</v>
      </c>
      <c r="B215" s="1">
        <v>41748</v>
      </c>
      <c r="C215" s="1">
        <v>42122</v>
      </c>
      <c r="D215" t="s">
        <v>26</v>
      </c>
      <c r="E215" t="b">
        <f>NOT(OR(ISBLANK(tblEmployee[[#This Row],[EndDate]]),tblEmployee[[#This Row],[EndDate]]-tblEmployee[[#This Row],[StartDate]]&gt;90))</f>
        <v>0</v>
      </c>
    </row>
    <row r="216" spans="1:7" x14ac:dyDescent="0.3">
      <c r="A216">
        <v>2373</v>
      </c>
      <c r="B216" s="1">
        <v>41852</v>
      </c>
      <c r="C216" s="1"/>
      <c r="E216" t="b">
        <f>NOT(OR(ISBLANK(tblEmployee[[#This Row],[EndDate]]),tblEmployee[[#This Row],[EndDate]]-tblEmployee[[#This Row],[StartDate]]&gt;90))</f>
        <v>0</v>
      </c>
    </row>
    <row r="217" spans="1:7" x14ac:dyDescent="0.3">
      <c r="A217">
        <v>2374</v>
      </c>
      <c r="B217" s="1">
        <v>38676</v>
      </c>
      <c r="C217" s="1">
        <v>42624</v>
      </c>
      <c r="D217" t="s">
        <v>56</v>
      </c>
      <c r="E217" t="b">
        <f>NOT(OR(ISBLANK(tblEmployee[[#This Row],[EndDate]]),tblEmployee[[#This Row],[EndDate]]-tblEmployee[[#This Row],[StartDate]]&gt;90))</f>
        <v>0</v>
      </c>
      <c r="G217" s="4"/>
    </row>
    <row r="218" spans="1:7" x14ac:dyDescent="0.3">
      <c r="A218">
        <v>2378</v>
      </c>
      <c r="B218" s="1">
        <v>43109</v>
      </c>
      <c r="C218" s="1"/>
      <c r="E218" t="b">
        <f>NOT(OR(ISBLANK(tblEmployee[[#This Row],[EndDate]]),tblEmployee[[#This Row],[EndDate]]-tblEmployee[[#This Row],[StartDate]]&gt;90))</f>
        <v>0</v>
      </c>
    </row>
    <row r="219" spans="1:7" x14ac:dyDescent="0.3">
      <c r="A219">
        <v>2379</v>
      </c>
      <c r="B219" s="1">
        <v>40014</v>
      </c>
      <c r="C219" s="1">
        <v>40196</v>
      </c>
      <c r="D219" t="s">
        <v>27</v>
      </c>
      <c r="E219" t="b">
        <f>NOT(OR(ISBLANK(tblEmployee[[#This Row],[EndDate]]),tblEmployee[[#This Row],[EndDate]]-tblEmployee[[#This Row],[StartDate]]&gt;90))</f>
        <v>0</v>
      </c>
    </row>
    <row r="220" spans="1:7" x14ac:dyDescent="0.3">
      <c r="A220">
        <v>2381</v>
      </c>
      <c r="B220" s="1">
        <v>42643</v>
      </c>
      <c r="C220" s="1">
        <v>43526</v>
      </c>
      <c r="D220" t="s">
        <v>26</v>
      </c>
      <c r="E220" t="b">
        <f>NOT(OR(ISBLANK(tblEmployee[[#This Row],[EndDate]]),tblEmployee[[#This Row],[EndDate]]-tblEmployee[[#This Row],[StartDate]]&gt;90))</f>
        <v>0</v>
      </c>
    </row>
    <row r="221" spans="1:7" x14ac:dyDescent="0.3">
      <c r="A221">
        <v>2397</v>
      </c>
      <c r="B221" s="1">
        <v>41450</v>
      </c>
      <c r="C221" s="1">
        <v>43129</v>
      </c>
      <c r="D221" t="s">
        <v>25</v>
      </c>
      <c r="E221" t="b">
        <f>NOT(OR(ISBLANK(tblEmployee[[#This Row],[EndDate]]),tblEmployee[[#This Row],[EndDate]]-tblEmployee[[#This Row],[StartDate]]&gt;90))</f>
        <v>0</v>
      </c>
    </row>
    <row r="222" spans="1:7" x14ac:dyDescent="0.3">
      <c r="A222">
        <v>2398</v>
      </c>
      <c r="B222" s="1">
        <v>42278</v>
      </c>
      <c r="C222" s="1"/>
      <c r="E222" t="b">
        <f>NOT(OR(ISBLANK(tblEmployee[[#This Row],[EndDate]]),tblEmployee[[#This Row],[EndDate]]-tblEmployee[[#This Row],[StartDate]]&gt;90))</f>
        <v>0</v>
      </c>
    </row>
    <row r="223" spans="1:7" x14ac:dyDescent="0.3">
      <c r="A223">
        <v>2400</v>
      </c>
      <c r="B223" s="1">
        <v>39218</v>
      </c>
      <c r="C223" s="1"/>
      <c r="E223" t="b">
        <f>NOT(OR(ISBLANK(tblEmployee[[#This Row],[EndDate]]),tblEmployee[[#This Row],[EndDate]]-tblEmployee[[#This Row],[StartDate]]&gt;90))</f>
        <v>0</v>
      </c>
    </row>
    <row r="224" spans="1:7" x14ac:dyDescent="0.3">
      <c r="A224">
        <v>2406</v>
      </c>
      <c r="B224" s="1">
        <v>39862</v>
      </c>
      <c r="C224" s="1"/>
      <c r="E224" t="b">
        <f>NOT(OR(ISBLANK(tblEmployee[[#This Row],[EndDate]]),tblEmployee[[#This Row],[EndDate]]-tblEmployee[[#This Row],[StartDate]]&gt;90))</f>
        <v>0</v>
      </c>
    </row>
    <row r="225" spans="1:5" x14ac:dyDescent="0.3">
      <c r="A225">
        <v>2408</v>
      </c>
      <c r="B225" s="1">
        <v>43162</v>
      </c>
      <c r="C225" s="1"/>
      <c r="E225" t="b">
        <f>NOT(OR(ISBLANK(tblEmployee[[#This Row],[EndDate]]),tblEmployee[[#This Row],[EndDate]]-tblEmployee[[#This Row],[StartDate]]&gt;90))</f>
        <v>0</v>
      </c>
    </row>
    <row r="226" spans="1:5" x14ac:dyDescent="0.3">
      <c r="A226">
        <v>2415</v>
      </c>
      <c r="B226" s="1">
        <v>41548</v>
      </c>
      <c r="C226" s="1"/>
      <c r="E226" t="b">
        <f>NOT(OR(ISBLANK(tblEmployee[[#This Row],[EndDate]]),tblEmployee[[#This Row],[EndDate]]-tblEmployee[[#This Row],[StartDate]]&gt;90))</f>
        <v>0</v>
      </c>
    </row>
    <row r="227" spans="1:5" x14ac:dyDescent="0.3">
      <c r="A227">
        <v>2421</v>
      </c>
      <c r="B227" s="1">
        <v>42472</v>
      </c>
      <c r="C227" s="1"/>
      <c r="E227" t="b">
        <f>NOT(OR(ISBLANK(tblEmployee[[#This Row],[EndDate]]),tblEmployee[[#This Row],[EndDate]]-tblEmployee[[#This Row],[StartDate]]&gt;90))</f>
        <v>0</v>
      </c>
    </row>
    <row r="228" spans="1:5" x14ac:dyDescent="0.3">
      <c r="A228">
        <v>2426</v>
      </c>
      <c r="B228" s="1">
        <v>42976</v>
      </c>
      <c r="C228" s="1"/>
      <c r="E228" t="b">
        <f>NOT(OR(ISBLANK(tblEmployee[[#This Row],[EndDate]]),tblEmployee[[#This Row],[EndDate]]-tblEmployee[[#This Row],[StartDate]]&gt;90))</f>
        <v>0</v>
      </c>
    </row>
    <row r="229" spans="1:5" x14ac:dyDescent="0.3">
      <c r="A229">
        <v>2442</v>
      </c>
      <c r="B229" s="1">
        <v>42887</v>
      </c>
      <c r="C229" s="1">
        <v>43805</v>
      </c>
      <c r="D229" t="s">
        <v>26</v>
      </c>
      <c r="E229" t="b">
        <f>NOT(OR(ISBLANK(tblEmployee[[#This Row],[EndDate]]),tblEmployee[[#This Row],[EndDate]]-tblEmployee[[#This Row],[StartDate]]&gt;90))</f>
        <v>0</v>
      </c>
    </row>
    <row r="230" spans="1:5" x14ac:dyDescent="0.3">
      <c r="A230">
        <v>2445</v>
      </c>
      <c r="B230" s="1">
        <v>37712</v>
      </c>
      <c r="C230" s="1">
        <v>37903</v>
      </c>
      <c r="D230" t="s">
        <v>29</v>
      </c>
      <c r="E230" t="b">
        <f>NOT(OR(ISBLANK(tblEmployee[[#This Row],[EndDate]]),tblEmployee[[#This Row],[EndDate]]-tblEmployee[[#This Row],[StartDate]]&gt;90))</f>
        <v>0</v>
      </c>
    </row>
    <row r="231" spans="1:5" x14ac:dyDescent="0.3">
      <c r="A231">
        <v>2447</v>
      </c>
      <c r="B231" s="1">
        <v>41138</v>
      </c>
      <c r="C231" s="1"/>
      <c r="E231" t="b">
        <f>NOT(OR(ISBLANK(tblEmployee[[#This Row],[EndDate]]),tblEmployee[[#This Row],[EndDate]]-tblEmployee[[#This Row],[StartDate]]&gt;90))</f>
        <v>0</v>
      </c>
    </row>
    <row r="232" spans="1:5" x14ac:dyDescent="0.3">
      <c r="A232">
        <v>2455</v>
      </c>
      <c r="B232" s="1">
        <v>38775</v>
      </c>
      <c r="C232" s="1"/>
      <c r="E232" t="b">
        <f>NOT(OR(ISBLANK(tblEmployee[[#This Row],[EndDate]]),tblEmployee[[#This Row],[EndDate]]-tblEmployee[[#This Row],[StartDate]]&gt;90))</f>
        <v>0</v>
      </c>
    </row>
    <row r="233" spans="1:5" x14ac:dyDescent="0.3">
      <c r="A233">
        <v>2456</v>
      </c>
      <c r="B233" s="1">
        <v>39923</v>
      </c>
      <c r="C233" s="1"/>
      <c r="E233" t="b">
        <f>NOT(OR(ISBLANK(tblEmployee[[#This Row],[EndDate]]),tblEmployee[[#This Row],[EndDate]]-tblEmployee[[#This Row],[StartDate]]&gt;90))</f>
        <v>0</v>
      </c>
    </row>
    <row r="234" spans="1:5" x14ac:dyDescent="0.3">
      <c r="A234">
        <v>2464</v>
      </c>
      <c r="B234" s="1">
        <v>40423</v>
      </c>
      <c r="C234" s="1">
        <v>41382</v>
      </c>
      <c r="D234" t="s">
        <v>25</v>
      </c>
      <c r="E234" t="b">
        <f>NOT(OR(ISBLANK(tblEmployee[[#This Row],[EndDate]]),tblEmployee[[#This Row],[EndDate]]-tblEmployee[[#This Row],[StartDate]]&gt;90))</f>
        <v>0</v>
      </c>
    </row>
    <row r="235" spans="1:5" x14ac:dyDescent="0.3">
      <c r="A235">
        <v>2465</v>
      </c>
      <c r="B235" s="1">
        <v>39442</v>
      </c>
      <c r="C235" s="1"/>
      <c r="E235" t="b">
        <f>NOT(OR(ISBLANK(tblEmployee[[#This Row],[EndDate]]),tblEmployee[[#This Row],[EndDate]]-tblEmployee[[#This Row],[StartDate]]&gt;90))</f>
        <v>0</v>
      </c>
    </row>
    <row r="236" spans="1:5" x14ac:dyDescent="0.3">
      <c r="A236">
        <v>2466</v>
      </c>
      <c r="B236" s="1">
        <v>40251</v>
      </c>
      <c r="C236" s="1"/>
      <c r="E236" t="b">
        <f>NOT(OR(ISBLANK(tblEmployee[[#This Row],[EndDate]]),tblEmployee[[#This Row],[EndDate]]-tblEmployee[[#This Row],[StartDate]]&gt;90))</f>
        <v>0</v>
      </c>
    </row>
    <row r="237" spans="1:5" x14ac:dyDescent="0.3">
      <c r="A237">
        <v>2467</v>
      </c>
      <c r="B237" s="1">
        <v>40878</v>
      </c>
      <c r="C237" s="1"/>
      <c r="E237" t="b">
        <f>NOT(OR(ISBLANK(tblEmployee[[#This Row],[EndDate]]),tblEmployee[[#This Row],[EndDate]]-tblEmployee[[#This Row],[StartDate]]&gt;90))</f>
        <v>0</v>
      </c>
    </row>
    <row r="238" spans="1:5" x14ac:dyDescent="0.3">
      <c r="A238">
        <v>2469</v>
      </c>
      <c r="B238" s="1">
        <v>43629</v>
      </c>
      <c r="C238" s="1">
        <v>44287</v>
      </c>
      <c r="D238" t="s">
        <v>56</v>
      </c>
      <c r="E238" t="b">
        <f>NOT(OR(ISBLANK(tblEmployee[[#This Row],[EndDate]]),tblEmployee[[#This Row],[EndDate]]-tblEmployee[[#This Row],[StartDate]]&gt;90))</f>
        <v>0</v>
      </c>
    </row>
    <row r="239" spans="1:5" x14ac:dyDescent="0.3">
      <c r="A239">
        <v>2476</v>
      </c>
      <c r="B239" s="1">
        <v>40008</v>
      </c>
      <c r="C239" s="1">
        <v>42293</v>
      </c>
      <c r="D239" t="s">
        <v>30</v>
      </c>
      <c r="E239" t="b">
        <f>NOT(OR(ISBLANK(tblEmployee[[#This Row],[EndDate]]),tblEmployee[[#This Row],[EndDate]]-tblEmployee[[#This Row],[StartDate]]&gt;90))</f>
        <v>0</v>
      </c>
    </row>
    <row r="240" spans="1:5" x14ac:dyDescent="0.3">
      <c r="A240">
        <v>2478</v>
      </c>
      <c r="B240" s="1">
        <v>42987</v>
      </c>
      <c r="C240" s="1"/>
      <c r="E240" t="b">
        <f>NOT(OR(ISBLANK(tblEmployee[[#This Row],[EndDate]]),tblEmployee[[#This Row],[EndDate]]-tblEmployee[[#This Row],[StartDate]]&gt;90))</f>
        <v>0</v>
      </c>
    </row>
    <row r="241" spans="1:5" x14ac:dyDescent="0.3">
      <c r="A241">
        <v>2480</v>
      </c>
      <c r="B241" s="1">
        <v>40329</v>
      </c>
      <c r="C241" s="1"/>
      <c r="E241" t="b">
        <f>NOT(OR(ISBLANK(tblEmployee[[#This Row],[EndDate]]),tblEmployee[[#This Row],[EndDate]]-tblEmployee[[#This Row],[StartDate]]&gt;90))</f>
        <v>0</v>
      </c>
    </row>
    <row r="242" spans="1:5" x14ac:dyDescent="0.3">
      <c r="A242">
        <v>2490</v>
      </c>
      <c r="B242" s="1">
        <v>39754</v>
      </c>
      <c r="C242" s="1"/>
      <c r="E242" t="b">
        <f>NOT(OR(ISBLANK(tblEmployee[[#This Row],[EndDate]]),tblEmployee[[#This Row],[EndDate]]-tblEmployee[[#This Row],[StartDate]]&gt;90))</f>
        <v>0</v>
      </c>
    </row>
    <row r="243" spans="1:5" x14ac:dyDescent="0.3">
      <c r="A243">
        <v>2496</v>
      </c>
      <c r="B243" s="1">
        <v>37331</v>
      </c>
      <c r="C243" s="1"/>
      <c r="E243" t="b">
        <f>NOT(OR(ISBLANK(tblEmployee[[#This Row],[EndDate]]),tblEmployee[[#This Row],[EndDate]]-tblEmployee[[#This Row],[StartDate]]&gt;90))</f>
        <v>0</v>
      </c>
    </row>
    <row r="244" spans="1:5" x14ac:dyDescent="0.3">
      <c r="A244">
        <v>2509</v>
      </c>
      <c r="B244" s="1">
        <v>40334</v>
      </c>
      <c r="C244" s="1"/>
      <c r="E244" t="b">
        <f>NOT(OR(ISBLANK(tblEmployee[[#This Row],[EndDate]]),tblEmployee[[#This Row],[EndDate]]-tblEmployee[[#This Row],[StartDate]]&gt;90))</f>
        <v>0</v>
      </c>
    </row>
    <row r="245" spans="1:5" x14ac:dyDescent="0.3">
      <c r="A245">
        <v>2524</v>
      </c>
      <c r="B245" s="1">
        <v>43323</v>
      </c>
      <c r="C245" s="1"/>
      <c r="E245" t="b">
        <f>NOT(OR(ISBLANK(tblEmployee[[#This Row],[EndDate]]),tblEmployee[[#This Row],[EndDate]]-tblEmployee[[#This Row],[StartDate]]&gt;90))</f>
        <v>0</v>
      </c>
    </row>
    <row r="246" spans="1:5" x14ac:dyDescent="0.3">
      <c r="A246">
        <v>2525</v>
      </c>
      <c r="B246" s="1">
        <v>39549</v>
      </c>
      <c r="C246" s="1"/>
      <c r="E246" t="b">
        <f>NOT(OR(ISBLANK(tblEmployee[[#This Row],[EndDate]]),tblEmployee[[#This Row],[EndDate]]-tblEmployee[[#This Row],[StartDate]]&gt;90))</f>
        <v>0</v>
      </c>
    </row>
    <row r="247" spans="1:5" x14ac:dyDescent="0.3">
      <c r="A247">
        <v>2527</v>
      </c>
      <c r="B247" s="1">
        <v>40354</v>
      </c>
      <c r="C247" s="1">
        <v>41402</v>
      </c>
      <c r="D247" t="s">
        <v>25</v>
      </c>
      <c r="E247" t="b">
        <f>NOT(OR(ISBLANK(tblEmployee[[#This Row],[EndDate]]),tblEmployee[[#This Row],[EndDate]]-tblEmployee[[#This Row],[StartDate]]&gt;90))</f>
        <v>0</v>
      </c>
    </row>
    <row r="248" spans="1:5" x14ac:dyDescent="0.3">
      <c r="A248">
        <v>2528</v>
      </c>
      <c r="B248" s="1">
        <v>41980</v>
      </c>
      <c r="C248" s="1"/>
      <c r="E248" t="b">
        <f>NOT(OR(ISBLANK(tblEmployee[[#This Row],[EndDate]]),tblEmployee[[#This Row],[EndDate]]-tblEmployee[[#This Row],[StartDate]]&gt;90))</f>
        <v>0</v>
      </c>
    </row>
    <row r="249" spans="1:5" x14ac:dyDescent="0.3">
      <c r="A249">
        <v>2529</v>
      </c>
      <c r="B249" s="1">
        <v>39224</v>
      </c>
      <c r="C249" s="1"/>
      <c r="E249" t="b">
        <f>NOT(OR(ISBLANK(tblEmployee[[#This Row],[EndDate]]),tblEmployee[[#This Row],[EndDate]]-tblEmployee[[#This Row],[StartDate]]&gt;90))</f>
        <v>0</v>
      </c>
    </row>
    <row r="250" spans="1:5" x14ac:dyDescent="0.3">
      <c r="A250">
        <v>2556</v>
      </c>
      <c r="B250" s="1">
        <v>39020</v>
      </c>
      <c r="C250" s="1">
        <v>43727</v>
      </c>
      <c r="D250" t="s">
        <v>25</v>
      </c>
      <c r="E250" t="b">
        <f>NOT(OR(ISBLANK(tblEmployee[[#This Row],[EndDate]]),tblEmployee[[#This Row],[EndDate]]-tblEmployee[[#This Row],[StartDate]]&gt;90))</f>
        <v>0</v>
      </c>
    </row>
    <row r="251" spans="1:5" x14ac:dyDescent="0.3">
      <c r="A251">
        <v>2561</v>
      </c>
      <c r="B251" s="1">
        <v>40768</v>
      </c>
      <c r="C251" s="1">
        <v>43754</v>
      </c>
      <c r="D251" t="s">
        <v>25</v>
      </c>
      <c r="E251" t="b">
        <f>NOT(OR(ISBLANK(tblEmployee[[#This Row],[EndDate]]),tblEmployee[[#This Row],[EndDate]]-tblEmployee[[#This Row],[StartDate]]&gt;90))</f>
        <v>0</v>
      </c>
    </row>
    <row r="252" spans="1:5" x14ac:dyDescent="0.3">
      <c r="A252">
        <v>2562</v>
      </c>
      <c r="B252" s="1">
        <v>42133</v>
      </c>
      <c r="C252" s="1">
        <v>43750</v>
      </c>
      <c r="D252" t="s">
        <v>25</v>
      </c>
      <c r="E252" t="b">
        <f>NOT(OR(ISBLANK(tblEmployee[[#This Row],[EndDate]]),tblEmployee[[#This Row],[EndDate]]-tblEmployee[[#This Row],[StartDate]]&gt;90))</f>
        <v>0</v>
      </c>
    </row>
    <row r="253" spans="1:5" x14ac:dyDescent="0.3">
      <c r="A253">
        <v>2563</v>
      </c>
      <c r="B253" s="1">
        <v>39849</v>
      </c>
      <c r="C253" s="1"/>
      <c r="E253" t="b">
        <f>NOT(OR(ISBLANK(tblEmployee[[#This Row],[EndDate]]),tblEmployee[[#This Row],[EndDate]]-tblEmployee[[#This Row],[StartDate]]&gt;90))</f>
        <v>0</v>
      </c>
    </row>
    <row r="254" spans="1:5" x14ac:dyDescent="0.3">
      <c r="A254">
        <v>2569</v>
      </c>
      <c r="B254" s="1">
        <v>40259</v>
      </c>
      <c r="C254" s="1"/>
      <c r="E254" t="b">
        <f>NOT(OR(ISBLANK(tblEmployee[[#This Row],[EndDate]]),tblEmployee[[#This Row],[EndDate]]-tblEmployee[[#This Row],[StartDate]]&gt;90))</f>
        <v>0</v>
      </c>
    </row>
    <row r="255" spans="1:5" x14ac:dyDescent="0.3">
      <c r="A255">
        <v>2570</v>
      </c>
      <c r="B255" s="1">
        <v>42114</v>
      </c>
      <c r="C255" s="1"/>
      <c r="E255" t="b">
        <f>NOT(OR(ISBLANK(tblEmployee[[#This Row],[EndDate]]),tblEmployee[[#This Row],[EndDate]]-tblEmployee[[#This Row],[StartDate]]&gt;90))</f>
        <v>0</v>
      </c>
    </row>
    <row r="256" spans="1:5" x14ac:dyDescent="0.3">
      <c r="A256">
        <v>2572</v>
      </c>
      <c r="B256" s="1">
        <v>40373</v>
      </c>
      <c r="C256" s="1"/>
      <c r="E256" t="b">
        <f>NOT(OR(ISBLANK(tblEmployee[[#This Row],[EndDate]]),tblEmployee[[#This Row],[EndDate]]-tblEmployee[[#This Row],[StartDate]]&gt;90))</f>
        <v>0</v>
      </c>
    </row>
    <row r="257" spans="1:7" x14ac:dyDescent="0.3">
      <c r="A257">
        <v>2586</v>
      </c>
      <c r="B257" s="1">
        <v>38401</v>
      </c>
      <c r="C257" s="1"/>
      <c r="E257" t="b">
        <f>NOT(OR(ISBLANK(tblEmployee[[#This Row],[EndDate]]),tblEmployee[[#This Row],[EndDate]]-tblEmployee[[#This Row],[StartDate]]&gt;90))</f>
        <v>0</v>
      </c>
    </row>
    <row r="258" spans="1:7" x14ac:dyDescent="0.3">
      <c r="A258">
        <v>2591</v>
      </c>
      <c r="B258" s="1">
        <v>37483</v>
      </c>
      <c r="C258" s="1"/>
      <c r="E258" t="b">
        <f>NOT(OR(ISBLANK(tblEmployee[[#This Row],[EndDate]]),tblEmployee[[#This Row],[EndDate]]-tblEmployee[[#This Row],[StartDate]]&gt;90))</f>
        <v>0</v>
      </c>
    </row>
    <row r="259" spans="1:7" x14ac:dyDescent="0.3">
      <c r="A259">
        <v>2593</v>
      </c>
      <c r="B259" s="1">
        <v>37786</v>
      </c>
      <c r="C259" s="1"/>
      <c r="E259" t="b">
        <f>NOT(OR(ISBLANK(tblEmployee[[#This Row],[EndDate]]),tblEmployee[[#This Row],[EndDate]]-tblEmployee[[#This Row],[StartDate]]&gt;90))</f>
        <v>0</v>
      </c>
    </row>
    <row r="260" spans="1:7" x14ac:dyDescent="0.3">
      <c r="A260">
        <v>2594</v>
      </c>
      <c r="B260" s="1">
        <v>39580</v>
      </c>
      <c r="C260" s="1"/>
      <c r="E260" t="b">
        <f>NOT(OR(ISBLANK(tblEmployee[[#This Row],[EndDate]]),tblEmployee[[#This Row],[EndDate]]-tblEmployee[[#This Row],[StartDate]]&gt;90))</f>
        <v>0</v>
      </c>
    </row>
    <row r="261" spans="1:7" x14ac:dyDescent="0.3">
      <c r="A261">
        <v>2597</v>
      </c>
      <c r="B261" s="1">
        <v>38434</v>
      </c>
      <c r="C261" s="1"/>
      <c r="E261" t="b">
        <f>NOT(OR(ISBLANK(tblEmployee[[#This Row],[EndDate]]),tblEmployee[[#This Row],[EndDate]]-tblEmployee[[#This Row],[StartDate]]&gt;90))</f>
        <v>0</v>
      </c>
    </row>
    <row r="262" spans="1:7" x14ac:dyDescent="0.3">
      <c r="A262">
        <v>2598</v>
      </c>
      <c r="B262" s="1">
        <v>40858</v>
      </c>
      <c r="C262" s="1"/>
      <c r="E262" t="b">
        <f>NOT(OR(ISBLANK(tblEmployee[[#This Row],[EndDate]]),tblEmployee[[#This Row],[EndDate]]-tblEmployee[[#This Row],[StartDate]]&gt;90))</f>
        <v>0</v>
      </c>
      <c r="G262" s="4"/>
    </row>
    <row r="263" spans="1:7" x14ac:dyDescent="0.3">
      <c r="A263">
        <v>2605</v>
      </c>
      <c r="B263" s="1">
        <v>42749</v>
      </c>
      <c r="C263" s="1"/>
      <c r="E263" t="b">
        <f>NOT(OR(ISBLANK(tblEmployee[[#This Row],[EndDate]]),tblEmployee[[#This Row],[EndDate]]-tblEmployee[[#This Row],[StartDate]]&gt;90))</f>
        <v>0</v>
      </c>
    </row>
    <row r="264" spans="1:7" x14ac:dyDescent="0.3">
      <c r="A264">
        <v>2608</v>
      </c>
      <c r="B264" s="1">
        <v>40022</v>
      </c>
      <c r="C264" s="1"/>
      <c r="E264" t="b">
        <f>NOT(OR(ISBLANK(tblEmployee[[#This Row],[EndDate]]),tblEmployee[[#This Row],[EndDate]]-tblEmployee[[#This Row],[StartDate]]&gt;90))</f>
        <v>0</v>
      </c>
    </row>
    <row r="265" spans="1:7" x14ac:dyDescent="0.3">
      <c r="A265">
        <v>2611</v>
      </c>
      <c r="B265" s="1">
        <v>41319</v>
      </c>
      <c r="C265" s="1"/>
      <c r="E265" t="b">
        <f>NOT(OR(ISBLANK(tblEmployee[[#This Row],[EndDate]]),tblEmployee[[#This Row],[EndDate]]-tblEmployee[[#This Row],[StartDate]]&gt;90))</f>
        <v>0</v>
      </c>
    </row>
    <row r="266" spans="1:7" x14ac:dyDescent="0.3">
      <c r="A266">
        <v>2615</v>
      </c>
      <c r="B266" s="1">
        <v>38103</v>
      </c>
      <c r="C266" s="1">
        <v>42364</v>
      </c>
      <c r="D266" t="s">
        <v>30</v>
      </c>
      <c r="E266" t="b">
        <f>NOT(OR(ISBLANK(tblEmployee[[#This Row],[EndDate]]),tblEmployee[[#This Row],[EndDate]]-tblEmployee[[#This Row],[StartDate]]&gt;90))</f>
        <v>0</v>
      </c>
    </row>
    <row r="267" spans="1:7" x14ac:dyDescent="0.3">
      <c r="A267">
        <v>2617</v>
      </c>
      <c r="B267" s="1">
        <v>40280</v>
      </c>
      <c r="C267" s="1"/>
      <c r="E267" t="b">
        <f>NOT(OR(ISBLANK(tblEmployee[[#This Row],[EndDate]]),tblEmployee[[#This Row],[EndDate]]-tblEmployee[[#This Row],[StartDate]]&gt;90))</f>
        <v>0</v>
      </c>
    </row>
    <row r="268" spans="1:7" x14ac:dyDescent="0.3">
      <c r="A268">
        <v>2647</v>
      </c>
      <c r="B268" s="1">
        <v>39542</v>
      </c>
      <c r="C268" s="1"/>
      <c r="E268" t="b">
        <f>NOT(OR(ISBLANK(tblEmployee[[#This Row],[EndDate]]),tblEmployee[[#This Row],[EndDate]]-tblEmployee[[#This Row],[StartDate]]&gt;90))</f>
        <v>0</v>
      </c>
    </row>
    <row r="269" spans="1:7" x14ac:dyDescent="0.3">
      <c r="A269">
        <v>2651</v>
      </c>
      <c r="B269" s="1">
        <v>40818</v>
      </c>
      <c r="C269" s="1"/>
      <c r="E269" t="b">
        <f>NOT(OR(ISBLANK(tblEmployee[[#This Row],[EndDate]]),tblEmployee[[#This Row],[EndDate]]-tblEmployee[[#This Row],[StartDate]]&gt;90))</f>
        <v>0</v>
      </c>
    </row>
    <row r="270" spans="1:7" x14ac:dyDescent="0.3">
      <c r="A270">
        <v>2658</v>
      </c>
      <c r="B270" s="1">
        <v>39834</v>
      </c>
      <c r="C270" s="1">
        <v>43120</v>
      </c>
      <c r="D270" t="s">
        <v>27</v>
      </c>
      <c r="E270" t="b">
        <f>NOT(OR(ISBLANK(tblEmployee[[#This Row],[EndDate]]),tblEmployee[[#This Row],[EndDate]]-tblEmployee[[#This Row],[StartDate]]&gt;90))</f>
        <v>0</v>
      </c>
    </row>
    <row r="271" spans="1:7" x14ac:dyDescent="0.3">
      <c r="A271">
        <v>2659</v>
      </c>
      <c r="B271" s="1">
        <v>41029</v>
      </c>
      <c r="C271" s="1"/>
      <c r="E271" t="b">
        <f>NOT(OR(ISBLANK(tblEmployee[[#This Row],[EndDate]]),tblEmployee[[#This Row],[EndDate]]-tblEmployee[[#This Row],[StartDate]]&gt;90))</f>
        <v>0</v>
      </c>
    </row>
    <row r="272" spans="1:7" x14ac:dyDescent="0.3">
      <c r="A272">
        <v>2663</v>
      </c>
      <c r="B272" s="1">
        <v>42401</v>
      </c>
      <c r="C272" s="1">
        <v>42588</v>
      </c>
      <c r="D272" t="s">
        <v>25</v>
      </c>
      <c r="E272" t="b">
        <f>NOT(OR(ISBLANK(tblEmployee[[#This Row],[EndDate]]),tblEmployee[[#This Row],[EndDate]]-tblEmployee[[#This Row],[StartDate]]&gt;90))</f>
        <v>0</v>
      </c>
    </row>
    <row r="273" spans="1:7" x14ac:dyDescent="0.3">
      <c r="A273">
        <v>2668</v>
      </c>
      <c r="B273" s="1">
        <v>39729</v>
      </c>
      <c r="C273" s="1"/>
      <c r="E273" t="b">
        <f>NOT(OR(ISBLANK(tblEmployee[[#This Row],[EndDate]]),tblEmployee[[#This Row],[EndDate]]-tblEmployee[[#This Row],[StartDate]]&gt;90))</f>
        <v>0</v>
      </c>
    </row>
    <row r="274" spans="1:7" x14ac:dyDescent="0.3">
      <c r="A274">
        <v>2674</v>
      </c>
      <c r="B274" s="1">
        <v>42488</v>
      </c>
      <c r="C274" s="1"/>
      <c r="E274" t="b">
        <f>NOT(OR(ISBLANK(tblEmployee[[#This Row],[EndDate]]),tblEmployee[[#This Row],[EndDate]]-tblEmployee[[#This Row],[StartDate]]&gt;90))</f>
        <v>0</v>
      </c>
    </row>
    <row r="275" spans="1:7" x14ac:dyDescent="0.3">
      <c r="A275">
        <v>2683</v>
      </c>
      <c r="B275" s="1">
        <v>37855</v>
      </c>
      <c r="C275" s="1"/>
      <c r="E275" t="b">
        <f>NOT(OR(ISBLANK(tblEmployee[[#This Row],[EndDate]]),tblEmployee[[#This Row],[EndDate]]-tblEmployee[[#This Row],[StartDate]]&gt;90))</f>
        <v>0</v>
      </c>
      <c r="G275" s="4"/>
    </row>
    <row r="276" spans="1:7" x14ac:dyDescent="0.3">
      <c r="A276">
        <v>2689</v>
      </c>
      <c r="B276" s="1">
        <v>43523</v>
      </c>
      <c r="C276" s="1">
        <v>44106</v>
      </c>
      <c r="D276" t="s">
        <v>30</v>
      </c>
      <c r="E276" t="b">
        <f>NOT(OR(ISBLANK(tblEmployee[[#This Row],[EndDate]]),tblEmployee[[#This Row],[EndDate]]-tblEmployee[[#This Row],[StartDate]]&gt;90))</f>
        <v>0</v>
      </c>
    </row>
    <row r="277" spans="1:7" x14ac:dyDescent="0.3">
      <c r="A277">
        <v>2693</v>
      </c>
      <c r="B277" s="1">
        <v>38633</v>
      </c>
      <c r="C277" s="1"/>
      <c r="E277" t="b">
        <f>NOT(OR(ISBLANK(tblEmployee[[#This Row],[EndDate]]),tblEmployee[[#This Row],[EndDate]]-tblEmployee[[#This Row],[StartDate]]&gt;90))</f>
        <v>0</v>
      </c>
      <c r="G277" s="4"/>
    </row>
    <row r="278" spans="1:7" x14ac:dyDescent="0.3">
      <c r="A278">
        <v>2696</v>
      </c>
      <c r="B278" s="1">
        <v>41291</v>
      </c>
      <c r="C278" s="1"/>
      <c r="E278" t="b">
        <f>NOT(OR(ISBLANK(tblEmployee[[#This Row],[EndDate]]),tblEmployee[[#This Row],[EndDate]]-tblEmployee[[#This Row],[StartDate]]&gt;90))</f>
        <v>0</v>
      </c>
    </row>
    <row r="279" spans="1:7" x14ac:dyDescent="0.3">
      <c r="A279">
        <v>2701</v>
      </c>
      <c r="B279" s="1">
        <v>41495</v>
      </c>
      <c r="C279" s="1"/>
      <c r="E279" t="b">
        <f>NOT(OR(ISBLANK(tblEmployee[[#This Row],[EndDate]]),tblEmployee[[#This Row],[EndDate]]-tblEmployee[[#This Row],[StartDate]]&gt;90))</f>
        <v>0</v>
      </c>
    </row>
    <row r="280" spans="1:7" x14ac:dyDescent="0.3">
      <c r="A280">
        <v>2702</v>
      </c>
      <c r="B280" s="1">
        <v>40867</v>
      </c>
      <c r="C280" s="1"/>
      <c r="E280" t="b">
        <f>NOT(OR(ISBLANK(tblEmployee[[#This Row],[EndDate]]),tblEmployee[[#This Row],[EndDate]]-tblEmployee[[#This Row],[StartDate]]&gt;90))</f>
        <v>0</v>
      </c>
    </row>
    <row r="281" spans="1:7" x14ac:dyDescent="0.3">
      <c r="A281">
        <v>2703</v>
      </c>
      <c r="B281" s="1">
        <v>43582</v>
      </c>
      <c r="C281" s="1"/>
      <c r="E281" t="b">
        <f>NOT(OR(ISBLANK(tblEmployee[[#This Row],[EndDate]]),tblEmployee[[#This Row],[EndDate]]-tblEmployee[[#This Row],[StartDate]]&gt;90))</f>
        <v>0</v>
      </c>
    </row>
    <row r="282" spans="1:7" x14ac:dyDescent="0.3">
      <c r="A282">
        <v>2705</v>
      </c>
      <c r="B282" s="1">
        <v>43462</v>
      </c>
      <c r="C282" s="1"/>
      <c r="E282" t="b">
        <f>NOT(OR(ISBLANK(tblEmployee[[#This Row],[EndDate]]),tblEmployee[[#This Row],[EndDate]]-tblEmployee[[#This Row],[StartDate]]&gt;90))</f>
        <v>0</v>
      </c>
    </row>
    <row r="283" spans="1:7" x14ac:dyDescent="0.3">
      <c r="A283">
        <v>2711</v>
      </c>
      <c r="B283" s="1">
        <v>41517</v>
      </c>
      <c r="C283" s="1"/>
      <c r="E283" t="b">
        <f>NOT(OR(ISBLANK(tblEmployee[[#This Row],[EndDate]]),tblEmployee[[#This Row],[EndDate]]-tblEmployee[[#This Row],[StartDate]]&gt;90))</f>
        <v>0</v>
      </c>
    </row>
    <row r="284" spans="1:7" x14ac:dyDescent="0.3">
      <c r="A284">
        <v>2715</v>
      </c>
      <c r="B284" s="1">
        <v>41225</v>
      </c>
      <c r="C284" s="1"/>
      <c r="E284" t="b">
        <f>NOT(OR(ISBLANK(tblEmployee[[#This Row],[EndDate]]),tblEmployee[[#This Row],[EndDate]]-tblEmployee[[#This Row],[StartDate]]&gt;90))</f>
        <v>0</v>
      </c>
    </row>
    <row r="285" spans="1:7" x14ac:dyDescent="0.3">
      <c r="A285">
        <v>2722</v>
      </c>
      <c r="B285" s="1">
        <v>37567</v>
      </c>
      <c r="C285" s="1"/>
      <c r="E285" t="b">
        <f>NOT(OR(ISBLANK(tblEmployee[[#This Row],[EndDate]]),tblEmployee[[#This Row],[EndDate]]-tblEmployee[[#This Row],[StartDate]]&gt;90))</f>
        <v>0</v>
      </c>
    </row>
    <row r="286" spans="1:7" x14ac:dyDescent="0.3">
      <c r="A286">
        <v>2727</v>
      </c>
      <c r="B286" s="1">
        <v>39112</v>
      </c>
      <c r="C286" s="1"/>
      <c r="E286" t="b">
        <f>NOT(OR(ISBLANK(tblEmployee[[#This Row],[EndDate]]),tblEmployee[[#This Row],[EndDate]]-tblEmployee[[#This Row],[StartDate]]&gt;90))</f>
        <v>0</v>
      </c>
    </row>
    <row r="287" spans="1:7" x14ac:dyDescent="0.3">
      <c r="A287">
        <v>2730</v>
      </c>
      <c r="B287" s="1">
        <v>42291</v>
      </c>
      <c r="C287" s="1">
        <v>43223</v>
      </c>
      <c r="D287" t="s">
        <v>25</v>
      </c>
      <c r="E287" t="b">
        <f>NOT(OR(ISBLANK(tblEmployee[[#This Row],[EndDate]]),tblEmployee[[#This Row],[EndDate]]-tblEmployee[[#This Row],[StartDate]]&gt;90))</f>
        <v>0</v>
      </c>
    </row>
    <row r="288" spans="1:7" x14ac:dyDescent="0.3">
      <c r="A288">
        <v>2736</v>
      </c>
      <c r="B288" s="1">
        <v>39617</v>
      </c>
      <c r="C288" s="1"/>
      <c r="E288" t="b">
        <f>NOT(OR(ISBLANK(tblEmployee[[#This Row],[EndDate]]),tblEmployee[[#This Row],[EndDate]]-tblEmployee[[#This Row],[StartDate]]&gt;90))</f>
        <v>0</v>
      </c>
    </row>
    <row r="289" spans="1:7" x14ac:dyDescent="0.3">
      <c r="A289">
        <v>2746</v>
      </c>
      <c r="B289" s="1">
        <v>44126</v>
      </c>
      <c r="C289" s="1"/>
      <c r="E289" t="b">
        <f>NOT(OR(ISBLANK(tblEmployee[[#This Row],[EndDate]]),tblEmployee[[#This Row],[EndDate]]-tblEmployee[[#This Row],[StartDate]]&gt;90))</f>
        <v>0</v>
      </c>
      <c r="G289" s="4"/>
    </row>
    <row r="290" spans="1:7" x14ac:dyDescent="0.3">
      <c r="A290">
        <v>2759</v>
      </c>
      <c r="B290" s="1">
        <v>41394</v>
      </c>
      <c r="C290" s="1"/>
      <c r="E290" t="b">
        <f>NOT(OR(ISBLANK(tblEmployee[[#This Row],[EndDate]]),tblEmployee[[#This Row],[EndDate]]-tblEmployee[[#This Row],[StartDate]]&gt;90))</f>
        <v>0</v>
      </c>
      <c r="G290" s="4"/>
    </row>
    <row r="291" spans="1:7" x14ac:dyDescent="0.3">
      <c r="A291">
        <v>2782</v>
      </c>
      <c r="B291" s="1">
        <v>39952</v>
      </c>
      <c r="C291" s="1"/>
      <c r="E291" t="b">
        <f>NOT(OR(ISBLANK(tblEmployee[[#This Row],[EndDate]]),tblEmployee[[#This Row],[EndDate]]-tblEmployee[[#This Row],[StartDate]]&gt;90))</f>
        <v>0</v>
      </c>
    </row>
    <row r="292" spans="1:7" x14ac:dyDescent="0.3">
      <c r="A292">
        <v>2783</v>
      </c>
      <c r="B292" s="1">
        <v>41551</v>
      </c>
      <c r="C292" s="1">
        <v>43461</v>
      </c>
      <c r="D292" t="s">
        <v>31</v>
      </c>
      <c r="E292" t="b">
        <f>NOT(OR(ISBLANK(tblEmployee[[#This Row],[EndDate]]),tblEmployee[[#This Row],[EndDate]]-tblEmployee[[#This Row],[StartDate]]&gt;90))</f>
        <v>0</v>
      </c>
    </row>
    <row r="293" spans="1:7" x14ac:dyDescent="0.3">
      <c r="A293">
        <v>2785</v>
      </c>
      <c r="B293" s="1">
        <v>41058</v>
      </c>
      <c r="C293" s="1"/>
      <c r="E293" t="b">
        <f>NOT(OR(ISBLANK(tblEmployee[[#This Row],[EndDate]]),tblEmployee[[#This Row],[EndDate]]-tblEmployee[[#This Row],[StartDate]]&gt;90))</f>
        <v>0</v>
      </c>
    </row>
    <row r="294" spans="1:7" x14ac:dyDescent="0.3">
      <c r="A294">
        <v>2790</v>
      </c>
      <c r="B294" s="1">
        <v>42096</v>
      </c>
      <c r="C294" s="1"/>
      <c r="E294" t="b">
        <f>NOT(OR(ISBLANK(tblEmployee[[#This Row],[EndDate]]),tblEmployee[[#This Row],[EndDate]]-tblEmployee[[#This Row],[StartDate]]&gt;90))</f>
        <v>0</v>
      </c>
    </row>
    <row r="295" spans="1:7" x14ac:dyDescent="0.3">
      <c r="A295">
        <v>2802</v>
      </c>
      <c r="B295" s="1">
        <v>39530</v>
      </c>
      <c r="C295" s="1"/>
      <c r="E295" t="b">
        <f>NOT(OR(ISBLANK(tblEmployee[[#This Row],[EndDate]]),tblEmployee[[#This Row],[EndDate]]-tblEmployee[[#This Row],[StartDate]]&gt;90))</f>
        <v>0</v>
      </c>
    </row>
    <row r="296" spans="1:7" x14ac:dyDescent="0.3">
      <c r="A296">
        <v>2811</v>
      </c>
      <c r="B296" s="1">
        <v>43949</v>
      </c>
      <c r="C296" s="1"/>
      <c r="E296" t="b">
        <f>NOT(OR(ISBLANK(tblEmployee[[#This Row],[EndDate]]),tblEmployee[[#This Row],[EndDate]]-tblEmployee[[#This Row],[StartDate]]&gt;90))</f>
        <v>0</v>
      </c>
    </row>
    <row r="297" spans="1:7" x14ac:dyDescent="0.3">
      <c r="A297">
        <v>2819</v>
      </c>
      <c r="B297" s="1">
        <v>42467</v>
      </c>
      <c r="C297" s="1"/>
      <c r="E297" t="b">
        <f>NOT(OR(ISBLANK(tblEmployee[[#This Row],[EndDate]]),tblEmployee[[#This Row],[EndDate]]-tblEmployee[[#This Row],[StartDate]]&gt;90))</f>
        <v>0</v>
      </c>
    </row>
    <row r="298" spans="1:7" x14ac:dyDescent="0.3">
      <c r="A298">
        <v>2823</v>
      </c>
      <c r="B298" s="1">
        <v>42629</v>
      </c>
      <c r="C298" s="1">
        <v>43005</v>
      </c>
      <c r="D298" t="s">
        <v>27</v>
      </c>
      <c r="E298" t="b">
        <f>NOT(OR(ISBLANK(tblEmployee[[#This Row],[EndDate]]),tblEmployee[[#This Row],[EndDate]]-tblEmployee[[#This Row],[StartDate]]&gt;90))</f>
        <v>0</v>
      </c>
    </row>
    <row r="299" spans="1:7" x14ac:dyDescent="0.3">
      <c r="A299">
        <v>2832</v>
      </c>
      <c r="B299" s="1">
        <v>37988</v>
      </c>
      <c r="C299" s="1">
        <v>42057</v>
      </c>
      <c r="D299" t="s">
        <v>25</v>
      </c>
      <c r="E299" t="b">
        <f>NOT(OR(ISBLANK(tblEmployee[[#This Row],[EndDate]]),tblEmployee[[#This Row],[EndDate]]-tblEmployee[[#This Row],[StartDate]]&gt;90))</f>
        <v>0</v>
      </c>
      <c r="G299" s="4"/>
    </row>
    <row r="300" spans="1:7" x14ac:dyDescent="0.3">
      <c r="A300">
        <v>2838</v>
      </c>
      <c r="B300" s="1">
        <v>40681</v>
      </c>
      <c r="C300" s="1"/>
      <c r="E300" t="b">
        <f>NOT(OR(ISBLANK(tblEmployee[[#This Row],[EndDate]]),tblEmployee[[#This Row],[EndDate]]-tblEmployee[[#This Row],[StartDate]]&gt;90))</f>
        <v>0</v>
      </c>
    </row>
    <row r="301" spans="1:7" x14ac:dyDescent="0.3">
      <c r="A301">
        <v>2845</v>
      </c>
      <c r="B301" s="1">
        <v>39713</v>
      </c>
      <c r="C301" s="1"/>
      <c r="E301" t="b">
        <f>NOT(OR(ISBLANK(tblEmployee[[#This Row],[EndDate]]),tblEmployee[[#This Row],[EndDate]]-tblEmployee[[#This Row],[StartDate]]&gt;90))</f>
        <v>0</v>
      </c>
    </row>
    <row r="302" spans="1:7" x14ac:dyDescent="0.3">
      <c r="A302">
        <v>2848</v>
      </c>
      <c r="B302" s="1">
        <v>40943</v>
      </c>
      <c r="C302" s="1"/>
      <c r="E302" t="b">
        <f>NOT(OR(ISBLANK(tblEmployee[[#This Row],[EndDate]]),tblEmployee[[#This Row],[EndDate]]-tblEmployee[[#This Row],[StartDate]]&gt;90))</f>
        <v>0</v>
      </c>
    </row>
    <row r="303" spans="1:7" x14ac:dyDescent="0.3">
      <c r="A303">
        <v>2849</v>
      </c>
      <c r="B303" s="1">
        <v>38728</v>
      </c>
      <c r="C303" s="1"/>
      <c r="E303" t="b">
        <f>NOT(OR(ISBLANK(tblEmployee[[#This Row],[EndDate]]),tblEmployee[[#This Row],[EndDate]]-tblEmployee[[#This Row],[StartDate]]&gt;90))</f>
        <v>0</v>
      </c>
    </row>
    <row r="304" spans="1:7" x14ac:dyDescent="0.3">
      <c r="A304">
        <v>2854</v>
      </c>
      <c r="B304" s="1">
        <v>40525</v>
      </c>
      <c r="C304" s="1"/>
      <c r="E304" t="b">
        <f>NOT(OR(ISBLANK(tblEmployee[[#This Row],[EndDate]]),tblEmployee[[#This Row],[EndDate]]-tblEmployee[[#This Row],[StartDate]]&gt;90))</f>
        <v>0</v>
      </c>
      <c r="G304" s="4"/>
    </row>
    <row r="305" spans="1:7" x14ac:dyDescent="0.3">
      <c r="A305">
        <v>2858</v>
      </c>
      <c r="B305" s="1">
        <v>38028</v>
      </c>
      <c r="C305" s="1"/>
      <c r="E305" t="b">
        <f>NOT(OR(ISBLANK(tblEmployee[[#This Row],[EndDate]]),tblEmployee[[#This Row],[EndDate]]-tblEmployee[[#This Row],[StartDate]]&gt;90))</f>
        <v>0</v>
      </c>
      <c r="G305" s="4"/>
    </row>
    <row r="306" spans="1:7" x14ac:dyDescent="0.3">
      <c r="A306">
        <v>2868</v>
      </c>
      <c r="B306" s="1">
        <v>40194</v>
      </c>
      <c r="C306" s="1"/>
      <c r="E306" t="b">
        <f>NOT(OR(ISBLANK(tblEmployee[[#This Row],[EndDate]]),tblEmployee[[#This Row],[EndDate]]-tblEmployee[[#This Row],[StartDate]]&gt;90))</f>
        <v>0</v>
      </c>
    </row>
    <row r="307" spans="1:7" x14ac:dyDescent="0.3">
      <c r="A307">
        <v>2887</v>
      </c>
      <c r="B307" s="1">
        <v>40496</v>
      </c>
      <c r="C307" s="1"/>
      <c r="E307" t="b">
        <f>NOT(OR(ISBLANK(tblEmployee[[#This Row],[EndDate]]),tblEmployee[[#This Row],[EndDate]]-tblEmployee[[#This Row],[StartDate]]&gt;90))</f>
        <v>0</v>
      </c>
    </row>
    <row r="308" spans="1:7" x14ac:dyDescent="0.3">
      <c r="A308">
        <v>2889</v>
      </c>
      <c r="B308" s="1">
        <v>41182</v>
      </c>
      <c r="C308" s="1"/>
      <c r="E308" t="b">
        <f>NOT(OR(ISBLANK(tblEmployee[[#This Row],[EndDate]]),tblEmployee[[#This Row],[EndDate]]-tblEmployee[[#This Row],[StartDate]]&gt;90))</f>
        <v>0</v>
      </c>
    </row>
    <row r="309" spans="1:7" x14ac:dyDescent="0.3">
      <c r="A309">
        <v>2891</v>
      </c>
      <c r="B309" s="1">
        <v>43726</v>
      </c>
      <c r="C309" s="1"/>
      <c r="E309" t="b">
        <f>NOT(OR(ISBLANK(tblEmployee[[#This Row],[EndDate]]),tblEmployee[[#This Row],[EndDate]]-tblEmployee[[#This Row],[StartDate]]&gt;90))</f>
        <v>0</v>
      </c>
    </row>
    <row r="310" spans="1:7" x14ac:dyDescent="0.3">
      <c r="A310">
        <v>2892</v>
      </c>
      <c r="B310" s="1">
        <v>38180</v>
      </c>
      <c r="C310" s="1"/>
      <c r="E310" t="b">
        <f>NOT(OR(ISBLANK(tblEmployee[[#This Row],[EndDate]]),tblEmployee[[#This Row],[EndDate]]-tblEmployee[[#This Row],[StartDate]]&gt;90))</f>
        <v>0</v>
      </c>
    </row>
    <row r="311" spans="1:7" x14ac:dyDescent="0.3">
      <c r="A311">
        <v>2893</v>
      </c>
      <c r="B311" s="1">
        <v>43982</v>
      </c>
      <c r="C311" s="1"/>
      <c r="E311" t="b">
        <f>NOT(OR(ISBLANK(tblEmployee[[#This Row],[EndDate]]),tblEmployee[[#This Row],[EndDate]]-tblEmployee[[#This Row],[StartDate]]&gt;90))</f>
        <v>0</v>
      </c>
    </row>
    <row r="312" spans="1:7" x14ac:dyDescent="0.3">
      <c r="A312">
        <v>2898</v>
      </c>
      <c r="B312" s="1">
        <v>43873</v>
      </c>
      <c r="C312" s="1"/>
      <c r="E312" t="b">
        <f>NOT(OR(ISBLANK(tblEmployee[[#This Row],[EndDate]]),tblEmployee[[#This Row],[EndDate]]-tblEmployee[[#This Row],[StartDate]]&gt;90))</f>
        <v>0</v>
      </c>
    </row>
    <row r="313" spans="1:7" x14ac:dyDescent="0.3">
      <c r="A313">
        <v>2905</v>
      </c>
      <c r="B313" s="1">
        <v>37863</v>
      </c>
      <c r="C313" s="1"/>
      <c r="E313" t="b">
        <f>NOT(OR(ISBLANK(tblEmployee[[#This Row],[EndDate]]),tblEmployee[[#This Row],[EndDate]]-tblEmployee[[#This Row],[StartDate]]&gt;90))</f>
        <v>0</v>
      </c>
    </row>
    <row r="314" spans="1:7" x14ac:dyDescent="0.3">
      <c r="A314">
        <v>2910</v>
      </c>
      <c r="B314" s="1">
        <v>37824</v>
      </c>
      <c r="C314" s="1"/>
      <c r="E314" t="b">
        <f>NOT(OR(ISBLANK(tblEmployee[[#This Row],[EndDate]]),tblEmployee[[#This Row],[EndDate]]-tblEmployee[[#This Row],[StartDate]]&gt;90))</f>
        <v>0</v>
      </c>
    </row>
    <row r="315" spans="1:7" x14ac:dyDescent="0.3">
      <c r="A315">
        <v>2917</v>
      </c>
      <c r="B315" s="1">
        <v>40063</v>
      </c>
      <c r="C315" s="1"/>
      <c r="E315" t="b">
        <f>NOT(OR(ISBLANK(tblEmployee[[#This Row],[EndDate]]),tblEmployee[[#This Row],[EndDate]]-tblEmployee[[#This Row],[StartDate]]&gt;90))</f>
        <v>0</v>
      </c>
    </row>
    <row r="316" spans="1:7" x14ac:dyDescent="0.3">
      <c r="A316">
        <v>2918</v>
      </c>
      <c r="B316" s="1">
        <v>39548</v>
      </c>
      <c r="C316" s="1"/>
      <c r="E316" t="b">
        <f>NOT(OR(ISBLANK(tblEmployee[[#This Row],[EndDate]]),tblEmployee[[#This Row],[EndDate]]-tblEmployee[[#This Row],[StartDate]]&gt;90))</f>
        <v>0</v>
      </c>
    </row>
    <row r="317" spans="1:7" x14ac:dyDescent="0.3">
      <c r="A317">
        <v>2921</v>
      </c>
      <c r="B317" s="1">
        <v>40671</v>
      </c>
      <c r="C317" s="1"/>
      <c r="E317" t="b">
        <f>NOT(OR(ISBLANK(tblEmployee[[#This Row],[EndDate]]),tblEmployee[[#This Row],[EndDate]]-tblEmployee[[#This Row],[StartDate]]&gt;90))</f>
        <v>0</v>
      </c>
    </row>
    <row r="318" spans="1:7" x14ac:dyDescent="0.3">
      <c r="A318">
        <v>2932</v>
      </c>
      <c r="B318" s="1">
        <v>42122</v>
      </c>
      <c r="C318" s="1"/>
      <c r="E318" t="b">
        <f>NOT(OR(ISBLANK(tblEmployee[[#This Row],[EndDate]]),tblEmployee[[#This Row],[EndDate]]-tblEmployee[[#This Row],[StartDate]]&gt;90))</f>
        <v>0</v>
      </c>
    </row>
    <row r="319" spans="1:7" x14ac:dyDescent="0.3">
      <c r="A319">
        <v>2950</v>
      </c>
      <c r="B319" s="1">
        <v>41691</v>
      </c>
      <c r="C319" s="1"/>
      <c r="E319" t="b">
        <f>NOT(OR(ISBLANK(tblEmployee[[#This Row],[EndDate]]),tblEmployee[[#This Row],[EndDate]]-tblEmployee[[#This Row],[StartDate]]&gt;90))</f>
        <v>0</v>
      </c>
    </row>
    <row r="320" spans="1:7" x14ac:dyDescent="0.3">
      <c r="A320">
        <v>2951</v>
      </c>
      <c r="B320" s="1">
        <v>39027</v>
      </c>
      <c r="C320" s="1">
        <v>42024</v>
      </c>
      <c r="D320" t="s">
        <v>27</v>
      </c>
      <c r="E320" t="b">
        <f>NOT(OR(ISBLANK(tblEmployee[[#This Row],[EndDate]]),tblEmployee[[#This Row],[EndDate]]-tblEmployee[[#This Row],[StartDate]]&gt;90))</f>
        <v>0</v>
      </c>
    </row>
    <row r="321" spans="1:5" x14ac:dyDescent="0.3">
      <c r="A321">
        <v>2958</v>
      </c>
      <c r="B321" s="1">
        <v>42459</v>
      </c>
      <c r="C321" s="1"/>
      <c r="E321" t="b">
        <f>NOT(OR(ISBLANK(tblEmployee[[#This Row],[EndDate]]),tblEmployee[[#This Row],[EndDate]]-tblEmployee[[#This Row],[StartDate]]&gt;90))</f>
        <v>0</v>
      </c>
    </row>
    <row r="322" spans="1:5" x14ac:dyDescent="0.3">
      <c r="A322">
        <v>2960</v>
      </c>
      <c r="B322" s="1">
        <v>37737</v>
      </c>
      <c r="C322" s="1"/>
      <c r="E322" t="b">
        <f>NOT(OR(ISBLANK(tblEmployee[[#This Row],[EndDate]]),tblEmployee[[#This Row],[EndDate]]-tblEmployee[[#This Row],[StartDate]]&gt;90))</f>
        <v>0</v>
      </c>
    </row>
    <row r="323" spans="1:5" x14ac:dyDescent="0.3">
      <c r="A323">
        <v>2962</v>
      </c>
      <c r="B323" s="1">
        <v>37761</v>
      </c>
      <c r="C323" s="1">
        <v>39923</v>
      </c>
      <c r="D323" t="s">
        <v>29</v>
      </c>
      <c r="E323" t="b">
        <f>NOT(OR(ISBLANK(tblEmployee[[#This Row],[EndDate]]),tblEmployee[[#This Row],[EndDate]]-tblEmployee[[#This Row],[StartDate]]&gt;90))</f>
        <v>0</v>
      </c>
    </row>
    <row r="324" spans="1:5" x14ac:dyDescent="0.3">
      <c r="A324">
        <v>2967</v>
      </c>
      <c r="B324" s="1">
        <v>41999</v>
      </c>
      <c r="C324" s="1"/>
      <c r="E324" t="b">
        <f>NOT(OR(ISBLANK(tblEmployee[[#This Row],[EndDate]]),tblEmployee[[#This Row],[EndDate]]-tblEmployee[[#This Row],[StartDate]]&gt;90))</f>
        <v>0</v>
      </c>
    </row>
    <row r="325" spans="1:5" x14ac:dyDescent="0.3">
      <c r="A325">
        <v>2969</v>
      </c>
      <c r="B325" s="1">
        <v>40993</v>
      </c>
      <c r="C325" s="1"/>
      <c r="E325" t="b">
        <f>NOT(OR(ISBLANK(tblEmployee[[#This Row],[EndDate]]),tblEmployee[[#This Row],[EndDate]]-tblEmployee[[#This Row],[StartDate]]&gt;90))</f>
        <v>0</v>
      </c>
    </row>
    <row r="326" spans="1:5" x14ac:dyDescent="0.3">
      <c r="A326">
        <v>2974</v>
      </c>
      <c r="B326" s="1">
        <v>44252</v>
      </c>
      <c r="C326" s="1">
        <v>44426</v>
      </c>
      <c r="D326" t="s">
        <v>30</v>
      </c>
      <c r="E326" t="b">
        <f>NOT(OR(ISBLANK(tblEmployee[[#This Row],[EndDate]]),tblEmployee[[#This Row],[EndDate]]-tblEmployee[[#This Row],[StartDate]]&gt;90))</f>
        <v>0</v>
      </c>
    </row>
    <row r="327" spans="1:5" x14ac:dyDescent="0.3">
      <c r="A327">
        <v>2975</v>
      </c>
      <c r="B327" s="1">
        <v>38421</v>
      </c>
      <c r="C327" s="1"/>
      <c r="E327" t="b">
        <f>NOT(OR(ISBLANK(tblEmployee[[#This Row],[EndDate]]),tblEmployee[[#This Row],[EndDate]]-tblEmployee[[#This Row],[StartDate]]&gt;90))</f>
        <v>0</v>
      </c>
    </row>
    <row r="328" spans="1:5" x14ac:dyDescent="0.3">
      <c r="A328">
        <v>2976</v>
      </c>
      <c r="B328" s="1">
        <v>41412</v>
      </c>
      <c r="C328" s="1"/>
      <c r="E328" t="b">
        <f>NOT(OR(ISBLANK(tblEmployee[[#This Row],[EndDate]]),tblEmployee[[#This Row],[EndDate]]-tblEmployee[[#This Row],[StartDate]]&gt;90))</f>
        <v>0</v>
      </c>
    </row>
    <row r="329" spans="1:5" x14ac:dyDescent="0.3">
      <c r="A329">
        <v>2982</v>
      </c>
      <c r="B329" s="1">
        <v>38919</v>
      </c>
      <c r="C329" s="1"/>
      <c r="E329" t="b">
        <f>NOT(OR(ISBLANK(tblEmployee[[#This Row],[EndDate]]),tblEmployee[[#This Row],[EndDate]]-tblEmployee[[#This Row],[StartDate]]&gt;90))</f>
        <v>0</v>
      </c>
    </row>
    <row r="330" spans="1:5" x14ac:dyDescent="0.3">
      <c r="A330">
        <v>2995</v>
      </c>
      <c r="B330" s="1">
        <v>38515</v>
      </c>
      <c r="C330" s="1"/>
      <c r="E330" t="b">
        <f>NOT(OR(ISBLANK(tblEmployee[[#This Row],[EndDate]]),tblEmployee[[#This Row],[EndDate]]-tblEmployee[[#This Row],[StartDate]]&gt;90))</f>
        <v>0</v>
      </c>
    </row>
    <row r="331" spans="1:5" x14ac:dyDescent="0.3">
      <c r="A331">
        <v>3000</v>
      </c>
      <c r="B331" s="1">
        <v>44137</v>
      </c>
      <c r="C331" s="1"/>
      <c r="E331" t="b">
        <f>NOT(OR(ISBLANK(tblEmployee[[#This Row],[EndDate]]),tblEmployee[[#This Row],[EndDate]]-tblEmployee[[#This Row],[StartDate]]&gt;90))</f>
        <v>0</v>
      </c>
    </row>
    <row r="332" spans="1:5" x14ac:dyDescent="0.3">
      <c r="A332">
        <v>3002</v>
      </c>
      <c r="B332" s="1">
        <v>42542</v>
      </c>
      <c r="C332" s="1"/>
      <c r="E332" t="b">
        <f>NOT(OR(ISBLANK(tblEmployee[[#This Row],[EndDate]]),tblEmployee[[#This Row],[EndDate]]-tblEmployee[[#This Row],[StartDate]]&gt;90))</f>
        <v>0</v>
      </c>
    </row>
    <row r="333" spans="1:5" x14ac:dyDescent="0.3">
      <c r="A333">
        <v>3009</v>
      </c>
      <c r="B333" s="1">
        <v>40074</v>
      </c>
      <c r="C333" s="1"/>
      <c r="E333" t="b">
        <f>NOT(OR(ISBLANK(tblEmployee[[#This Row],[EndDate]]),tblEmployee[[#This Row],[EndDate]]-tblEmployee[[#This Row],[StartDate]]&gt;90))</f>
        <v>0</v>
      </c>
    </row>
    <row r="334" spans="1:5" x14ac:dyDescent="0.3">
      <c r="A334">
        <v>3013</v>
      </c>
      <c r="B334" s="1">
        <v>38393</v>
      </c>
      <c r="C334" s="1"/>
      <c r="E334" t="b">
        <f>NOT(OR(ISBLANK(tblEmployee[[#This Row],[EndDate]]),tblEmployee[[#This Row],[EndDate]]-tblEmployee[[#This Row],[StartDate]]&gt;90))</f>
        <v>0</v>
      </c>
    </row>
    <row r="335" spans="1:5" x14ac:dyDescent="0.3">
      <c r="A335">
        <v>3024</v>
      </c>
      <c r="B335" s="1">
        <v>42628</v>
      </c>
      <c r="C335" s="1"/>
      <c r="E335" t="b">
        <f>NOT(OR(ISBLANK(tblEmployee[[#This Row],[EndDate]]),tblEmployee[[#This Row],[EndDate]]-tblEmployee[[#This Row],[StartDate]]&gt;90))</f>
        <v>0</v>
      </c>
    </row>
    <row r="336" spans="1:5" x14ac:dyDescent="0.3">
      <c r="A336">
        <v>3034</v>
      </c>
      <c r="B336" s="1">
        <v>43826</v>
      </c>
      <c r="C336" s="1">
        <v>44286</v>
      </c>
      <c r="D336" t="s">
        <v>25</v>
      </c>
      <c r="E336" t="b">
        <f>NOT(OR(ISBLANK(tblEmployee[[#This Row],[EndDate]]),tblEmployee[[#This Row],[EndDate]]-tblEmployee[[#This Row],[StartDate]]&gt;90))</f>
        <v>0</v>
      </c>
    </row>
    <row r="337" spans="1:5" x14ac:dyDescent="0.3">
      <c r="A337">
        <v>3035</v>
      </c>
      <c r="B337" s="1">
        <v>43976</v>
      </c>
      <c r="C337" s="1"/>
      <c r="E337" t="b">
        <f>NOT(OR(ISBLANK(tblEmployee[[#This Row],[EndDate]]),tblEmployee[[#This Row],[EndDate]]-tblEmployee[[#This Row],[StartDate]]&gt;90))</f>
        <v>0</v>
      </c>
    </row>
    <row r="338" spans="1:5" x14ac:dyDescent="0.3">
      <c r="A338">
        <v>3041</v>
      </c>
      <c r="B338" s="1">
        <v>41854</v>
      </c>
      <c r="C338" s="1"/>
      <c r="E338" t="b">
        <f>NOT(OR(ISBLANK(tblEmployee[[#This Row],[EndDate]]),tblEmployee[[#This Row],[EndDate]]-tblEmployee[[#This Row],[StartDate]]&gt;90))</f>
        <v>0</v>
      </c>
    </row>
    <row r="339" spans="1:5" x14ac:dyDescent="0.3">
      <c r="A339">
        <v>3045</v>
      </c>
      <c r="B339" s="1">
        <v>44178</v>
      </c>
      <c r="C339" s="1"/>
      <c r="E339" t="b">
        <f>NOT(OR(ISBLANK(tblEmployee[[#This Row],[EndDate]]),tblEmployee[[#This Row],[EndDate]]-tblEmployee[[#This Row],[StartDate]]&gt;90))</f>
        <v>0</v>
      </c>
    </row>
    <row r="340" spans="1:5" x14ac:dyDescent="0.3">
      <c r="A340">
        <v>3050</v>
      </c>
      <c r="B340" s="1">
        <v>41294</v>
      </c>
      <c r="C340" s="1"/>
      <c r="E340" t="b">
        <f>NOT(OR(ISBLANK(tblEmployee[[#This Row],[EndDate]]),tblEmployee[[#This Row],[EndDate]]-tblEmployee[[#This Row],[StartDate]]&gt;90))</f>
        <v>0</v>
      </c>
    </row>
    <row r="341" spans="1:5" x14ac:dyDescent="0.3">
      <c r="A341">
        <v>3053</v>
      </c>
      <c r="B341" s="1">
        <v>42360</v>
      </c>
      <c r="C341" s="1"/>
      <c r="E341" t="b">
        <f>NOT(OR(ISBLANK(tblEmployee[[#This Row],[EndDate]]),tblEmployee[[#This Row],[EndDate]]-tblEmployee[[#This Row],[StartDate]]&gt;90))</f>
        <v>0</v>
      </c>
    </row>
    <row r="342" spans="1:5" x14ac:dyDescent="0.3">
      <c r="A342">
        <v>3070</v>
      </c>
      <c r="B342" s="1">
        <v>43592</v>
      </c>
      <c r="C342" s="1"/>
      <c r="E342" t="b">
        <f>NOT(OR(ISBLANK(tblEmployee[[#This Row],[EndDate]]),tblEmployee[[#This Row],[EndDate]]-tblEmployee[[#This Row],[StartDate]]&gt;90))</f>
        <v>0</v>
      </c>
    </row>
    <row r="343" spans="1:5" x14ac:dyDescent="0.3">
      <c r="A343">
        <v>3081</v>
      </c>
      <c r="B343" s="1">
        <v>41557</v>
      </c>
      <c r="C343" s="1"/>
      <c r="E343" t="b">
        <f>NOT(OR(ISBLANK(tblEmployee[[#This Row],[EndDate]]),tblEmployee[[#This Row],[EndDate]]-tblEmployee[[#This Row],[StartDate]]&gt;90))</f>
        <v>0</v>
      </c>
    </row>
    <row r="344" spans="1:5" x14ac:dyDescent="0.3">
      <c r="A344">
        <v>3084</v>
      </c>
      <c r="B344" s="1">
        <v>38704</v>
      </c>
      <c r="C344" s="1">
        <v>43482</v>
      </c>
      <c r="D344" t="s">
        <v>56</v>
      </c>
      <c r="E344" t="b">
        <f>NOT(OR(ISBLANK(tblEmployee[[#This Row],[EndDate]]),tblEmployee[[#This Row],[EndDate]]-tblEmployee[[#This Row],[StartDate]]&gt;90))</f>
        <v>0</v>
      </c>
    </row>
    <row r="345" spans="1:5" x14ac:dyDescent="0.3">
      <c r="A345">
        <v>3087</v>
      </c>
      <c r="B345" s="1">
        <v>43750</v>
      </c>
      <c r="C345" s="1"/>
      <c r="E345" t="b">
        <f>NOT(OR(ISBLANK(tblEmployee[[#This Row],[EndDate]]),tblEmployee[[#This Row],[EndDate]]-tblEmployee[[#This Row],[StartDate]]&gt;90))</f>
        <v>0</v>
      </c>
    </row>
    <row r="346" spans="1:5" x14ac:dyDescent="0.3">
      <c r="A346">
        <v>3090</v>
      </c>
      <c r="B346" s="1">
        <v>40740</v>
      </c>
      <c r="C346" s="1">
        <v>43992</v>
      </c>
      <c r="D346" t="s">
        <v>26</v>
      </c>
      <c r="E346" t="b">
        <f>NOT(OR(ISBLANK(tblEmployee[[#This Row],[EndDate]]),tblEmployee[[#This Row],[EndDate]]-tblEmployee[[#This Row],[StartDate]]&gt;90))</f>
        <v>0</v>
      </c>
    </row>
    <row r="347" spans="1:5" x14ac:dyDescent="0.3">
      <c r="A347">
        <v>3108</v>
      </c>
      <c r="B347" s="1">
        <v>43406</v>
      </c>
      <c r="C347" s="1"/>
      <c r="E347" t="b">
        <f>NOT(OR(ISBLANK(tblEmployee[[#This Row],[EndDate]]),tblEmployee[[#This Row],[EndDate]]-tblEmployee[[#This Row],[StartDate]]&gt;90))</f>
        <v>0</v>
      </c>
    </row>
    <row r="348" spans="1:5" x14ac:dyDescent="0.3">
      <c r="A348">
        <v>3117</v>
      </c>
      <c r="B348" s="1">
        <v>42017</v>
      </c>
      <c r="C348" s="1"/>
      <c r="E348" t="b">
        <f>NOT(OR(ISBLANK(tblEmployee[[#This Row],[EndDate]]),tblEmployee[[#This Row],[EndDate]]-tblEmployee[[#This Row],[StartDate]]&gt;90))</f>
        <v>0</v>
      </c>
    </row>
    <row r="349" spans="1:5" x14ac:dyDescent="0.3">
      <c r="A349">
        <v>3120</v>
      </c>
      <c r="B349" s="1">
        <v>37398</v>
      </c>
      <c r="C349" s="1"/>
      <c r="E349" t="b">
        <f>NOT(OR(ISBLANK(tblEmployee[[#This Row],[EndDate]]),tblEmployee[[#This Row],[EndDate]]-tblEmployee[[#This Row],[StartDate]]&gt;90))</f>
        <v>0</v>
      </c>
    </row>
    <row r="350" spans="1:5" x14ac:dyDescent="0.3">
      <c r="A350">
        <v>3122</v>
      </c>
      <c r="B350" s="1">
        <v>38501</v>
      </c>
      <c r="C350" s="1"/>
      <c r="E350" t="b">
        <f>NOT(OR(ISBLANK(tblEmployee[[#This Row],[EndDate]]),tblEmployee[[#This Row],[EndDate]]-tblEmployee[[#This Row],[StartDate]]&gt;90))</f>
        <v>0</v>
      </c>
    </row>
    <row r="351" spans="1:5" x14ac:dyDescent="0.3">
      <c r="A351">
        <v>3124</v>
      </c>
      <c r="B351" s="1">
        <v>39302</v>
      </c>
      <c r="C351" s="1"/>
      <c r="E351" t="b">
        <f>NOT(OR(ISBLANK(tblEmployee[[#This Row],[EndDate]]),tblEmployee[[#This Row],[EndDate]]-tblEmployee[[#This Row],[StartDate]]&gt;90))</f>
        <v>0</v>
      </c>
    </row>
    <row r="352" spans="1:5" x14ac:dyDescent="0.3">
      <c r="A352">
        <v>3132</v>
      </c>
      <c r="B352" s="1">
        <v>43315</v>
      </c>
      <c r="C352" s="1"/>
      <c r="E352" t="b">
        <f>NOT(OR(ISBLANK(tblEmployee[[#This Row],[EndDate]]),tblEmployee[[#This Row],[EndDate]]-tblEmployee[[#This Row],[StartDate]]&gt;90))</f>
        <v>0</v>
      </c>
    </row>
    <row r="353" spans="1:5" x14ac:dyDescent="0.3">
      <c r="A353">
        <v>3133</v>
      </c>
      <c r="B353" s="1">
        <v>39275</v>
      </c>
      <c r="C353" s="1"/>
      <c r="E353" t="b">
        <f>NOT(OR(ISBLANK(tblEmployee[[#This Row],[EndDate]]),tblEmployee[[#This Row],[EndDate]]-tblEmployee[[#This Row],[StartDate]]&gt;90))</f>
        <v>0</v>
      </c>
    </row>
    <row r="354" spans="1:5" x14ac:dyDescent="0.3">
      <c r="A354">
        <v>3142</v>
      </c>
      <c r="B354" s="1">
        <v>41389</v>
      </c>
      <c r="C354" s="1">
        <v>43823</v>
      </c>
      <c r="D354" t="s">
        <v>25</v>
      </c>
      <c r="E354" t="b">
        <f>NOT(OR(ISBLANK(tblEmployee[[#This Row],[EndDate]]),tblEmployee[[#This Row],[EndDate]]-tblEmployee[[#This Row],[StartDate]]&gt;90))</f>
        <v>0</v>
      </c>
    </row>
    <row r="355" spans="1:5" x14ac:dyDescent="0.3">
      <c r="A355">
        <v>3152</v>
      </c>
      <c r="B355" s="1">
        <v>43845</v>
      </c>
      <c r="C355" s="1"/>
      <c r="E355" t="b">
        <f>NOT(OR(ISBLANK(tblEmployee[[#This Row],[EndDate]]),tblEmployee[[#This Row],[EndDate]]-tblEmployee[[#This Row],[StartDate]]&gt;90))</f>
        <v>0</v>
      </c>
    </row>
    <row r="356" spans="1:5" x14ac:dyDescent="0.3">
      <c r="A356">
        <v>3156</v>
      </c>
      <c r="B356" s="1">
        <v>40829</v>
      </c>
      <c r="C356" s="1">
        <v>43310</v>
      </c>
      <c r="D356" t="s">
        <v>30</v>
      </c>
      <c r="E356" t="b">
        <f>NOT(OR(ISBLANK(tblEmployee[[#This Row],[EndDate]]),tblEmployee[[#This Row],[EndDate]]-tblEmployee[[#This Row],[StartDate]]&gt;90))</f>
        <v>0</v>
      </c>
    </row>
    <row r="357" spans="1:5" x14ac:dyDescent="0.3">
      <c r="A357">
        <v>3158</v>
      </c>
      <c r="B357" s="1">
        <v>43544</v>
      </c>
      <c r="C357" s="1"/>
      <c r="E357" t="b">
        <f>NOT(OR(ISBLANK(tblEmployee[[#This Row],[EndDate]]),tblEmployee[[#This Row],[EndDate]]-tblEmployee[[#This Row],[StartDate]]&gt;90))</f>
        <v>0</v>
      </c>
    </row>
    <row r="358" spans="1:5" x14ac:dyDescent="0.3">
      <c r="A358">
        <v>3166</v>
      </c>
      <c r="B358" s="1">
        <v>38292</v>
      </c>
      <c r="C358" s="1">
        <v>40245</v>
      </c>
      <c r="D358" t="s">
        <v>30</v>
      </c>
      <c r="E358" t="b">
        <f>NOT(OR(ISBLANK(tblEmployee[[#This Row],[EndDate]]),tblEmployee[[#This Row],[EndDate]]-tblEmployee[[#This Row],[StartDate]]&gt;90))</f>
        <v>0</v>
      </c>
    </row>
    <row r="359" spans="1:5" x14ac:dyDescent="0.3">
      <c r="A359">
        <v>3171</v>
      </c>
      <c r="B359" s="1">
        <v>41873</v>
      </c>
      <c r="C359" s="1">
        <v>44106</v>
      </c>
      <c r="D359" t="s">
        <v>30</v>
      </c>
      <c r="E359" t="b">
        <f>NOT(OR(ISBLANK(tblEmployee[[#This Row],[EndDate]]),tblEmployee[[#This Row],[EndDate]]-tblEmployee[[#This Row],[StartDate]]&gt;90))</f>
        <v>0</v>
      </c>
    </row>
    <row r="360" spans="1:5" x14ac:dyDescent="0.3">
      <c r="A360">
        <v>3173</v>
      </c>
      <c r="B360" s="1">
        <v>38202</v>
      </c>
      <c r="C360" s="1"/>
      <c r="E360" t="b">
        <f>NOT(OR(ISBLANK(tblEmployee[[#This Row],[EndDate]]),tblEmployee[[#This Row],[EndDate]]-tblEmployee[[#This Row],[StartDate]]&gt;90))</f>
        <v>0</v>
      </c>
    </row>
    <row r="361" spans="1:5" x14ac:dyDescent="0.3">
      <c r="A361">
        <v>3188</v>
      </c>
      <c r="B361" s="1">
        <v>38565</v>
      </c>
      <c r="C361" s="1">
        <v>40832</v>
      </c>
      <c r="D361" t="s">
        <v>27</v>
      </c>
      <c r="E361" t="b">
        <f>NOT(OR(ISBLANK(tblEmployee[[#This Row],[EndDate]]),tblEmployee[[#This Row],[EndDate]]-tblEmployee[[#This Row],[StartDate]]&gt;90))</f>
        <v>0</v>
      </c>
    </row>
    <row r="362" spans="1:5" x14ac:dyDescent="0.3">
      <c r="A362">
        <v>3189</v>
      </c>
      <c r="B362" s="1">
        <v>41707</v>
      </c>
      <c r="C362" s="1">
        <v>44176</v>
      </c>
      <c r="D362" t="s">
        <v>25</v>
      </c>
      <c r="E362" t="b">
        <f>NOT(OR(ISBLANK(tblEmployee[[#This Row],[EndDate]]),tblEmployee[[#This Row],[EndDate]]-tblEmployee[[#This Row],[StartDate]]&gt;90))</f>
        <v>0</v>
      </c>
    </row>
    <row r="363" spans="1:5" x14ac:dyDescent="0.3">
      <c r="A363">
        <v>3194</v>
      </c>
      <c r="B363" s="1">
        <v>40372</v>
      </c>
      <c r="C363" s="1"/>
      <c r="E363" t="b">
        <f>NOT(OR(ISBLANK(tblEmployee[[#This Row],[EndDate]]),tblEmployee[[#This Row],[EndDate]]-tblEmployee[[#This Row],[StartDate]]&gt;90))</f>
        <v>0</v>
      </c>
    </row>
    <row r="364" spans="1:5" x14ac:dyDescent="0.3">
      <c r="A364">
        <v>3197</v>
      </c>
      <c r="B364" s="1">
        <v>42573</v>
      </c>
      <c r="C364" s="1">
        <v>44170</v>
      </c>
      <c r="D364" t="s">
        <v>27</v>
      </c>
      <c r="E364" t="b">
        <f>NOT(OR(ISBLANK(tblEmployee[[#This Row],[EndDate]]),tblEmployee[[#This Row],[EndDate]]-tblEmployee[[#This Row],[StartDate]]&gt;90))</f>
        <v>0</v>
      </c>
    </row>
    <row r="365" spans="1:5" x14ac:dyDescent="0.3">
      <c r="A365">
        <v>3204</v>
      </c>
      <c r="B365" s="1">
        <v>38604</v>
      </c>
      <c r="C365" s="1"/>
      <c r="E365" t="b">
        <f>NOT(OR(ISBLANK(tblEmployee[[#This Row],[EndDate]]),tblEmployee[[#This Row],[EndDate]]-tblEmployee[[#This Row],[StartDate]]&gt;90))</f>
        <v>0</v>
      </c>
    </row>
    <row r="366" spans="1:5" x14ac:dyDescent="0.3">
      <c r="A366">
        <v>3206</v>
      </c>
      <c r="B366" s="1">
        <v>40601</v>
      </c>
      <c r="C366" s="1"/>
      <c r="E366" t="b">
        <f>NOT(OR(ISBLANK(tblEmployee[[#This Row],[EndDate]]),tblEmployee[[#This Row],[EndDate]]-tblEmployee[[#This Row],[StartDate]]&gt;90))</f>
        <v>0</v>
      </c>
    </row>
    <row r="367" spans="1:5" x14ac:dyDescent="0.3">
      <c r="A367">
        <v>3211</v>
      </c>
      <c r="B367" s="1">
        <v>41594</v>
      </c>
      <c r="C367" s="1"/>
      <c r="E367" t="b">
        <f>NOT(OR(ISBLANK(tblEmployee[[#This Row],[EndDate]]),tblEmployee[[#This Row],[EndDate]]-tblEmployee[[#This Row],[StartDate]]&gt;90))</f>
        <v>0</v>
      </c>
    </row>
    <row r="368" spans="1:5" x14ac:dyDescent="0.3">
      <c r="A368">
        <v>3214</v>
      </c>
      <c r="B368" s="1">
        <v>38354</v>
      </c>
      <c r="C368" s="1">
        <v>41002</v>
      </c>
      <c r="D368" t="s">
        <v>56</v>
      </c>
      <c r="E368" t="b">
        <f>NOT(OR(ISBLANK(tblEmployee[[#This Row],[EndDate]]),tblEmployee[[#This Row],[EndDate]]-tblEmployee[[#This Row],[StartDate]]&gt;90))</f>
        <v>0</v>
      </c>
    </row>
    <row r="369" spans="1:5" x14ac:dyDescent="0.3">
      <c r="A369">
        <v>3216</v>
      </c>
      <c r="B369" s="1">
        <v>42358</v>
      </c>
      <c r="C369" s="1"/>
      <c r="E369" t="b">
        <f>NOT(OR(ISBLANK(tblEmployee[[#This Row],[EndDate]]),tblEmployee[[#This Row],[EndDate]]-tblEmployee[[#This Row],[StartDate]]&gt;90))</f>
        <v>0</v>
      </c>
    </row>
    <row r="370" spans="1:5" x14ac:dyDescent="0.3">
      <c r="A370">
        <v>3221</v>
      </c>
      <c r="B370" s="1">
        <v>41956</v>
      </c>
      <c r="C370" s="1"/>
      <c r="E370" t="b">
        <f>NOT(OR(ISBLANK(tblEmployee[[#This Row],[EndDate]]),tblEmployee[[#This Row],[EndDate]]-tblEmployee[[#This Row],[StartDate]]&gt;90))</f>
        <v>0</v>
      </c>
    </row>
    <row r="371" spans="1:5" x14ac:dyDescent="0.3">
      <c r="A371">
        <v>3232</v>
      </c>
      <c r="B371" s="1">
        <v>41451</v>
      </c>
      <c r="C371" s="1">
        <v>42742</v>
      </c>
      <c r="D371" t="s">
        <v>26</v>
      </c>
      <c r="E371" t="b">
        <f>NOT(OR(ISBLANK(tblEmployee[[#This Row],[EndDate]]),tblEmployee[[#This Row],[EndDate]]-tblEmployee[[#This Row],[StartDate]]&gt;90))</f>
        <v>0</v>
      </c>
    </row>
    <row r="372" spans="1:5" x14ac:dyDescent="0.3">
      <c r="A372">
        <v>3241</v>
      </c>
      <c r="B372" s="1">
        <v>41402</v>
      </c>
      <c r="C372" s="1"/>
      <c r="E372" t="b">
        <f>NOT(OR(ISBLANK(tblEmployee[[#This Row],[EndDate]]),tblEmployee[[#This Row],[EndDate]]-tblEmployee[[#This Row],[StartDate]]&gt;90))</f>
        <v>0</v>
      </c>
    </row>
    <row r="373" spans="1:5" x14ac:dyDescent="0.3">
      <c r="A373">
        <v>3243</v>
      </c>
      <c r="B373" s="1">
        <v>40374</v>
      </c>
      <c r="C373" s="1"/>
      <c r="E373" t="b">
        <f>NOT(OR(ISBLANK(tblEmployee[[#This Row],[EndDate]]),tblEmployee[[#This Row],[EndDate]]-tblEmployee[[#This Row],[StartDate]]&gt;90))</f>
        <v>0</v>
      </c>
    </row>
    <row r="374" spans="1:5" x14ac:dyDescent="0.3">
      <c r="A374">
        <v>3249</v>
      </c>
      <c r="B374" s="1">
        <v>43526</v>
      </c>
      <c r="C374" s="1"/>
      <c r="E374" t="b">
        <f>NOT(OR(ISBLANK(tblEmployee[[#This Row],[EndDate]]),tblEmployee[[#This Row],[EndDate]]-tblEmployee[[#This Row],[StartDate]]&gt;90))</f>
        <v>0</v>
      </c>
    </row>
    <row r="375" spans="1:5" x14ac:dyDescent="0.3">
      <c r="A375">
        <v>3257</v>
      </c>
      <c r="B375" s="1">
        <v>39985</v>
      </c>
      <c r="C375" s="1"/>
      <c r="E375" t="b">
        <f>NOT(OR(ISBLANK(tblEmployee[[#This Row],[EndDate]]),tblEmployee[[#This Row],[EndDate]]-tblEmployee[[#This Row],[StartDate]]&gt;90))</f>
        <v>0</v>
      </c>
    </row>
    <row r="376" spans="1:5" x14ac:dyDescent="0.3">
      <c r="A376">
        <v>3261</v>
      </c>
      <c r="B376" s="1">
        <v>42508</v>
      </c>
      <c r="C376" s="1"/>
      <c r="E376" t="b">
        <f>NOT(OR(ISBLANK(tblEmployee[[#This Row],[EndDate]]),tblEmployee[[#This Row],[EndDate]]-tblEmployee[[#This Row],[StartDate]]&gt;90))</f>
        <v>0</v>
      </c>
    </row>
    <row r="377" spans="1:5" x14ac:dyDescent="0.3">
      <c r="A377">
        <v>3268</v>
      </c>
      <c r="B377" s="1">
        <v>44024</v>
      </c>
      <c r="C377" s="1">
        <v>44184</v>
      </c>
      <c r="D377" t="s">
        <v>56</v>
      </c>
      <c r="E377" t="b">
        <f>NOT(OR(ISBLANK(tblEmployee[[#This Row],[EndDate]]),tblEmployee[[#This Row],[EndDate]]-tblEmployee[[#This Row],[StartDate]]&gt;90))</f>
        <v>0</v>
      </c>
    </row>
    <row r="378" spans="1:5" x14ac:dyDescent="0.3">
      <c r="A378">
        <v>3277</v>
      </c>
      <c r="B378" s="1">
        <v>41238</v>
      </c>
      <c r="C378" s="1"/>
      <c r="E378" t="b">
        <f>NOT(OR(ISBLANK(tblEmployee[[#This Row],[EndDate]]),tblEmployee[[#This Row],[EndDate]]-tblEmployee[[#This Row],[StartDate]]&gt;90))</f>
        <v>0</v>
      </c>
    </row>
    <row r="379" spans="1:5" x14ac:dyDescent="0.3">
      <c r="A379">
        <v>3283</v>
      </c>
      <c r="B379" s="1">
        <v>38102</v>
      </c>
      <c r="C379" s="1"/>
      <c r="E379" t="b">
        <f>NOT(OR(ISBLANK(tblEmployee[[#This Row],[EndDate]]),tblEmployee[[#This Row],[EndDate]]-tblEmployee[[#This Row],[StartDate]]&gt;90))</f>
        <v>0</v>
      </c>
    </row>
    <row r="380" spans="1:5" x14ac:dyDescent="0.3">
      <c r="A380">
        <v>3291</v>
      </c>
      <c r="B380" s="1">
        <v>38155</v>
      </c>
      <c r="C380" s="1"/>
      <c r="E380" t="b">
        <f>NOT(OR(ISBLANK(tblEmployee[[#This Row],[EndDate]]),tblEmployee[[#This Row],[EndDate]]-tblEmployee[[#This Row],[StartDate]]&gt;90))</f>
        <v>0</v>
      </c>
    </row>
    <row r="381" spans="1:5" x14ac:dyDescent="0.3">
      <c r="A381">
        <v>3292</v>
      </c>
      <c r="B381" s="1">
        <v>44186</v>
      </c>
      <c r="C381" s="1"/>
      <c r="E381" t="b">
        <f>NOT(OR(ISBLANK(tblEmployee[[#This Row],[EndDate]]),tblEmployee[[#This Row],[EndDate]]-tblEmployee[[#This Row],[StartDate]]&gt;90))</f>
        <v>0</v>
      </c>
    </row>
    <row r="382" spans="1:5" x14ac:dyDescent="0.3">
      <c r="A382">
        <v>3297</v>
      </c>
      <c r="B382" s="1">
        <v>42387</v>
      </c>
      <c r="C382" s="1"/>
      <c r="E382" t="b">
        <f>NOT(OR(ISBLANK(tblEmployee[[#This Row],[EndDate]]),tblEmployee[[#This Row],[EndDate]]-tblEmployee[[#This Row],[StartDate]]&gt;90))</f>
        <v>0</v>
      </c>
    </row>
    <row r="383" spans="1:5" x14ac:dyDescent="0.3">
      <c r="A383">
        <v>3300</v>
      </c>
      <c r="B383" s="1">
        <v>42874</v>
      </c>
      <c r="C383" s="1"/>
      <c r="E383" t="b">
        <f>NOT(OR(ISBLANK(tblEmployee[[#This Row],[EndDate]]),tblEmployee[[#This Row],[EndDate]]-tblEmployee[[#This Row],[StartDate]]&gt;90))</f>
        <v>0</v>
      </c>
    </row>
    <row r="384" spans="1:5" x14ac:dyDescent="0.3">
      <c r="A384">
        <v>3303</v>
      </c>
      <c r="B384" s="1">
        <v>43215</v>
      </c>
      <c r="C384" s="1"/>
      <c r="E384" t="b">
        <f>NOT(OR(ISBLANK(tblEmployee[[#This Row],[EndDate]]),tblEmployee[[#This Row],[EndDate]]-tblEmployee[[#This Row],[StartDate]]&gt;90))</f>
        <v>0</v>
      </c>
    </row>
    <row r="385" spans="1:5" x14ac:dyDescent="0.3">
      <c r="A385">
        <v>3307</v>
      </c>
      <c r="B385" s="1">
        <v>39065</v>
      </c>
      <c r="C385" s="1">
        <v>43856</v>
      </c>
      <c r="D385" t="s">
        <v>27</v>
      </c>
      <c r="E385" t="b">
        <f>NOT(OR(ISBLANK(tblEmployee[[#This Row],[EndDate]]),tblEmployee[[#This Row],[EndDate]]-tblEmployee[[#This Row],[StartDate]]&gt;90))</f>
        <v>0</v>
      </c>
    </row>
    <row r="386" spans="1:5" x14ac:dyDescent="0.3">
      <c r="A386">
        <v>3309</v>
      </c>
      <c r="B386" s="1">
        <v>43504</v>
      </c>
      <c r="C386" s="1"/>
      <c r="E386" t="b">
        <f>NOT(OR(ISBLANK(tblEmployee[[#This Row],[EndDate]]),tblEmployee[[#This Row],[EndDate]]-tblEmployee[[#This Row],[StartDate]]&gt;90))</f>
        <v>0</v>
      </c>
    </row>
    <row r="387" spans="1:5" x14ac:dyDescent="0.3">
      <c r="A387">
        <v>3315</v>
      </c>
      <c r="B387" s="1">
        <v>39457</v>
      </c>
      <c r="C387" s="1">
        <v>44477</v>
      </c>
      <c r="D387" t="s">
        <v>31</v>
      </c>
      <c r="E387" t="b">
        <f>NOT(OR(ISBLANK(tblEmployee[[#This Row],[EndDate]]),tblEmployee[[#This Row],[EndDate]]-tblEmployee[[#This Row],[StartDate]]&gt;90))</f>
        <v>0</v>
      </c>
    </row>
    <row r="388" spans="1:5" x14ac:dyDescent="0.3">
      <c r="A388">
        <v>3317</v>
      </c>
      <c r="B388" s="1">
        <v>38159</v>
      </c>
      <c r="C388" s="1"/>
      <c r="E388" t="b">
        <f>NOT(OR(ISBLANK(tblEmployee[[#This Row],[EndDate]]),tblEmployee[[#This Row],[EndDate]]-tblEmployee[[#This Row],[StartDate]]&gt;90))</f>
        <v>0</v>
      </c>
    </row>
    <row r="389" spans="1:5" x14ac:dyDescent="0.3">
      <c r="A389">
        <v>3320</v>
      </c>
      <c r="B389" s="1">
        <v>43118</v>
      </c>
      <c r="C389" s="1"/>
      <c r="E389" t="b">
        <f>NOT(OR(ISBLANK(tblEmployee[[#This Row],[EndDate]]),tblEmployee[[#This Row],[EndDate]]-tblEmployee[[#This Row],[StartDate]]&gt;90))</f>
        <v>0</v>
      </c>
    </row>
    <row r="390" spans="1:5" x14ac:dyDescent="0.3">
      <c r="A390">
        <v>3321</v>
      </c>
      <c r="B390" s="1">
        <v>37436</v>
      </c>
      <c r="C390" s="1"/>
      <c r="E390" t="b">
        <f>NOT(OR(ISBLANK(tblEmployee[[#This Row],[EndDate]]),tblEmployee[[#This Row],[EndDate]]-tblEmployee[[#This Row],[StartDate]]&gt;90))</f>
        <v>0</v>
      </c>
    </row>
    <row r="391" spans="1:5" x14ac:dyDescent="0.3">
      <c r="A391">
        <v>3322</v>
      </c>
      <c r="B391" s="1">
        <v>41885</v>
      </c>
      <c r="C391" s="1"/>
      <c r="E391" t="b">
        <f>NOT(OR(ISBLANK(tblEmployee[[#This Row],[EndDate]]),tblEmployee[[#This Row],[EndDate]]-tblEmployee[[#This Row],[StartDate]]&gt;90))</f>
        <v>0</v>
      </c>
    </row>
    <row r="392" spans="1:5" x14ac:dyDescent="0.3">
      <c r="A392">
        <v>3325</v>
      </c>
      <c r="B392" s="1">
        <v>40812</v>
      </c>
      <c r="C392" s="1">
        <v>41711</v>
      </c>
      <c r="D392" t="s">
        <v>27</v>
      </c>
      <c r="E392" t="b">
        <f>NOT(OR(ISBLANK(tblEmployee[[#This Row],[EndDate]]),tblEmployee[[#This Row],[EndDate]]-tblEmployee[[#This Row],[StartDate]]&gt;90))</f>
        <v>0</v>
      </c>
    </row>
    <row r="393" spans="1:5" x14ac:dyDescent="0.3">
      <c r="A393">
        <v>3326</v>
      </c>
      <c r="B393" s="1">
        <v>40743</v>
      </c>
      <c r="C393" s="1"/>
      <c r="E393" t="b">
        <f>NOT(OR(ISBLANK(tblEmployee[[#This Row],[EndDate]]),tblEmployee[[#This Row],[EndDate]]-tblEmployee[[#This Row],[StartDate]]&gt;90))</f>
        <v>0</v>
      </c>
    </row>
    <row r="394" spans="1:5" x14ac:dyDescent="0.3">
      <c r="A394">
        <v>3330</v>
      </c>
      <c r="B394" s="1">
        <v>38299</v>
      </c>
      <c r="C394" s="1"/>
      <c r="E394" t="b">
        <f>NOT(OR(ISBLANK(tblEmployee[[#This Row],[EndDate]]),tblEmployee[[#This Row],[EndDate]]-tblEmployee[[#This Row],[StartDate]]&gt;90))</f>
        <v>0</v>
      </c>
    </row>
    <row r="395" spans="1:5" x14ac:dyDescent="0.3">
      <c r="A395">
        <v>3331</v>
      </c>
      <c r="B395" s="1">
        <v>43502</v>
      </c>
      <c r="C395" s="1"/>
      <c r="E395" t="b">
        <f>NOT(OR(ISBLANK(tblEmployee[[#This Row],[EndDate]]),tblEmployee[[#This Row],[EndDate]]-tblEmployee[[#This Row],[StartDate]]&gt;90))</f>
        <v>0</v>
      </c>
    </row>
    <row r="396" spans="1:5" x14ac:dyDescent="0.3">
      <c r="A396">
        <v>3333</v>
      </c>
      <c r="B396" s="1">
        <v>41271</v>
      </c>
      <c r="C396" s="1"/>
      <c r="E396" t="b">
        <f>NOT(OR(ISBLANK(tblEmployee[[#This Row],[EndDate]]),tblEmployee[[#This Row],[EndDate]]-tblEmployee[[#This Row],[StartDate]]&gt;90))</f>
        <v>0</v>
      </c>
    </row>
    <row r="397" spans="1:5" x14ac:dyDescent="0.3">
      <c r="A397">
        <v>3334</v>
      </c>
      <c r="B397" s="1">
        <v>41145</v>
      </c>
      <c r="C397" s="1"/>
      <c r="E397" t="b">
        <f>NOT(OR(ISBLANK(tblEmployee[[#This Row],[EndDate]]),tblEmployee[[#This Row],[EndDate]]-tblEmployee[[#This Row],[StartDate]]&gt;90))</f>
        <v>0</v>
      </c>
    </row>
    <row r="398" spans="1:5" x14ac:dyDescent="0.3">
      <c r="A398">
        <v>3335</v>
      </c>
      <c r="B398" s="1">
        <v>41489</v>
      </c>
      <c r="C398" s="1"/>
      <c r="E398" t="b">
        <f>NOT(OR(ISBLANK(tblEmployee[[#This Row],[EndDate]]),tblEmployee[[#This Row],[EndDate]]-tblEmployee[[#This Row],[StartDate]]&gt;90))</f>
        <v>0</v>
      </c>
    </row>
    <row r="399" spans="1:5" x14ac:dyDescent="0.3">
      <c r="A399">
        <v>3352</v>
      </c>
      <c r="B399" s="1">
        <v>41194</v>
      </c>
      <c r="C399" s="1"/>
      <c r="E399" t="b">
        <f>NOT(OR(ISBLANK(tblEmployee[[#This Row],[EndDate]]),tblEmployee[[#This Row],[EndDate]]-tblEmployee[[#This Row],[StartDate]]&gt;90))</f>
        <v>0</v>
      </c>
    </row>
    <row r="400" spans="1:5" x14ac:dyDescent="0.3">
      <c r="A400">
        <v>3360</v>
      </c>
      <c r="B400" s="1">
        <v>41610</v>
      </c>
      <c r="C400" s="1"/>
      <c r="E400" t="b">
        <f>NOT(OR(ISBLANK(tblEmployee[[#This Row],[EndDate]]),tblEmployee[[#This Row],[EndDate]]-tblEmployee[[#This Row],[StartDate]]&gt;90))</f>
        <v>0</v>
      </c>
    </row>
    <row r="401" spans="1:5" x14ac:dyDescent="0.3">
      <c r="A401">
        <v>3363</v>
      </c>
      <c r="B401" s="1">
        <v>39967</v>
      </c>
      <c r="C401" s="1"/>
      <c r="E401" t="b">
        <f>NOT(OR(ISBLANK(tblEmployee[[#This Row],[EndDate]]),tblEmployee[[#This Row],[EndDate]]-tblEmployee[[#This Row],[StartDate]]&gt;90))</f>
        <v>0</v>
      </c>
    </row>
    <row r="402" spans="1:5" x14ac:dyDescent="0.3">
      <c r="A402">
        <v>3366</v>
      </c>
      <c r="B402" s="1">
        <v>43830</v>
      </c>
      <c r="C402" s="1"/>
      <c r="E402" t="b">
        <f>NOT(OR(ISBLANK(tblEmployee[[#This Row],[EndDate]]),tblEmployee[[#This Row],[EndDate]]-tblEmployee[[#This Row],[StartDate]]&gt;90))</f>
        <v>0</v>
      </c>
    </row>
    <row r="403" spans="1:5" x14ac:dyDescent="0.3">
      <c r="A403">
        <v>3370</v>
      </c>
      <c r="B403" s="1">
        <v>44006</v>
      </c>
      <c r="C403" s="1"/>
      <c r="E403" t="b">
        <f>NOT(OR(ISBLANK(tblEmployee[[#This Row],[EndDate]]),tblEmployee[[#This Row],[EndDate]]-tblEmployee[[#This Row],[StartDate]]&gt;90))</f>
        <v>0</v>
      </c>
    </row>
    <row r="404" spans="1:5" x14ac:dyDescent="0.3">
      <c r="A404">
        <v>3381</v>
      </c>
      <c r="B404" s="1">
        <v>41514</v>
      </c>
      <c r="C404" s="1">
        <v>42685</v>
      </c>
      <c r="D404" t="s">
        <v>30</v>
      </c>
      <c r="E404" t="b">
        <f>NOT(OR(ISBLANK(tblEmployee[[#This Row],[EndDate]]),tblEmployee[[#This Row],[EndDate]]-tblEmployee[[#This Row],[StartDate]]&gt;90))</f>
        <v>0</v>
      </c>
    </row>
    <row r="405" spans="1:5" x14ac:dyDescent="0.3">
      <c r="A405">
        <v>3412</v>
      </c>
      <c r="B405" s="1">
        <v>43947</v>
      </c>
      <c r="C405" s="1">
        <v>44144</v>
      </c>
      <c r="D405" t="s">
        <v>25</v>
      </c>
      <c r="E405" t="b">
        <f>NOT(OR(ISBLANK(tblEmployee[[#This Row],[EndDate]]),tblEmployee[[#This Row],[EndDate]]-tblEmployee[[#This Row],[StartDate]]&gt;90))</f>
        <v>0</v>
      </c>
    </row>
    <row r="406" spans="1:5" x14ac:dyDescent="0.3">
      <c r="A406">
        <v>3413</v>
      </c>
      <c r="B406" s="1">
        <v>40645</v>
      </c>
      <c r="C406" s="1"/>
      <c r="E406" t="b">
        <f>NOT(OR(ISBLANK(tblEmployee[[#This Row],[EndDate]]),tblEmployee[[#This Row],[EndDate]]-tblEmployee[[#This Row],[StartDate]]&gt;90))</f>
        <v>0</v>
      </c>
    </row>
    <row r="407" spans="1:5" x14ac:dyDescent="0.3">
      <c r="A407">
        <v>3414</v>
      </c>
      <c r="B407" s="1">
        <v>40573</v>
      </c>
      <c r="C407" s="1"/>
      <c r="E407" t="b">
        <f>NOT(OR(ISBLANK(tblEmployee[[#This Row],[EndDate]]),tblEmployee[[#This Row],[EndDate]]-tblEmployee[[#This Row],[StartDate]]&gt;90))</f>
        <v>0</v>
      </c>
    </row>
    <row r="408" spans="1:5" x14ac:dyDescent="0.3">
      <c r="A408">
        <v>3427</v>
      </c>
      <c r="B408" s="1">
        <v>42808</v>
      </c>
      <c r="C408" s="1"/>
      <c r="E408" t="b">
        <f>NOT(OR(ISBLANK(tblEmployee[[#This Row],[EndDate]]),tblEmployee[[#This Row],[EndDate]]-tblEmployee[[#This Row],[StartDate]]&gt;90))</f>
        <v>0</v>
      </c>
    </row>
    <row r="409" spans="1:5" x14ac:dyDescent="0.3">
      <c r="A409">
        <v>3429</v>
      </c>
      <c r="B409" s="1">
        <v>43677</v>
      </c>
      <c r="C409" s="1"/>
      <c r="E409" t="b">
        <f>NOT(OR(ISBLANK(tblEmployee[[#This Row],[EndDate]]),tblEmployee[[#This Row],[EndDate]]-tblEmployee[[#This Row],[StartDate]]&gt;90))</f>
        <v>0</v>
      </c>
    </row>
    <row r="410" spans="1:5" x14ac:dyDescent="0.3">
      <c r="A410">
        <v>3433</v>
      </c>
      <c r="B410" s="1">
        <v>42407</v>
      </c>
      <c r="C410" s="1"/>
      <c r="E410" t="b">
        <f>NOT(OR(ISBLANK(tblEmployee[[#This Row],[EndDate]]),tblEmployee[[#This Row],[EndDate]]-tblEmployee[[#This Row],[StartDate]]&gt;90))</f>
        <v>0</v>
      </c>
    </row>
    <row r="411" spans="1:5" x14ac:dyDescent="0.3">
      <c r="A411">
        <v>3439</v>
      </c>
      <c r="B411" s="1">
        <v>41884</v>
      </c>
      <c r="C411" s="1"/>
      <c r="E411" t="b">
        <f>NOT(OR(ISBLANK(tblEmployee[[#This Row],[EndDate]]),tblEmployee[[#This Row],[EndDate]]-tblEmployee[[#This Row],[StartDate]]&gt;90))</f>
        <v>0</v>
      </c>
    </row>
    <row r="412" spans="1:5" x14ac:dyDescent="0.3">
      <c r="A412">
        <v>3444</v>
      </c>
      <c r="B412" s="1">
        <v>41597</v>
      </c>
      <c r="C412" s="1"/>
      <c r="E412" t="b">
        <f>NOT(OR(ISBLANK(tblEmployee[[#This Row],[EndDate]]),tblEmployee[[#This Row],[EndDate]]-tblEmployee[[#This Row],[StartDate]]&gt;90))</f>
        <v>0</v>
      </c>
    </row>
    <row r="413" spans="1:5" x14ac:dyDescent="0.3">
      <c r="A413">
        <v>3445</v>
      </c>
      <c r="B413" s="1">
        <v>38102</v>
      </c>
      <c r="C413" s="1">
        <v>43041</v>
      </c>
      <c r="D413" t="s">
        <v>28</v>
      </c>
      <c r="E413" t="b">
        <f>NOT(OR(ISBLANK(tblEmployee[[#This Row],[EndDate]]),tblEmployee[[#This Row],[EndDate]]-tblEmployee[[#This Row],[StartDate]]&gt;90))</f>
        <v>0</v>
      </c>
    </row>
    <row r="414" spans="1:5" x14ac:dyDescent="0.3">
      <c r="A414">
        <v>3449</v>
      </c>
      <c r="B414" s="1">
        <v>43569</v>
      </c>
      <c r="C414" s="1"/>
      <c r="E414" t="b">
        <f>NOT(OR(ISBLANK(tblEmployee[[#This Row],[EndDate]]),tblEmployee[[#This Row],[EndDate]]-tblEmployee[[#This Row],[StartDate]]&gt;90))</f>
        <v>0</v>
      </c>
    </row>
    <row r="415" spans="1:5" x14ac:dyDescent="0.3">
      <c r="A415">
        <v>3456</v>
      </c>
      <c r="B415" s="1">
        <v>37592</v>
      </c>
      <c r="C415" s="1"/>
      <c r="E415" t="b">
        <f>NOT(OR(ISBLANK(tblEmployee[[#This Row],[EndDate]]),tblEmployee[[#This Row],[EndDate]]-tblEmployee[[#This Row],[StartDate]]&gt;90))</f>
        <v>0</v>
      </c>
    </row>
    <row r="416" spans="1:5" x14ac:dyDescent="0.3">
      <c r="A416">
        <v>3457</v>
      </c>
      <c r="B416" s="1">
        <v>37752</v>
      </c>
      <c r="C416" s="1"/>
      <c r="E416" t="b">
        <f>NOT(OR(ISBLANK(tblEmployee[[#This Row],[EndDate]]),tblEmployee[[#This Row],[EndDate]]-tblEmployee[[#This Row],[StartDate]]&gt;90))</f>
        <v>0</v>
      </c>
    </row>
    <row r="417" spans="1:5" x14ac:dyDescent="0.3">
      <c r="A417">
        <v>3458</v>
      </c>
      <c r="B417" s="1">
        <v>40978</v>
      </c>
      <c r="C417" s="1"/>
      <c r="E417" t="b">
        <f>NOT(OR(ISBLANK(tblEmployee[[#This Row],[EndDate]]),tblEmployee[[#This Row],[EndDate]]-tblEmployee[[#This Row],[StartDate]]&gt;90))</f>
        <v>0</v>
      </c>
    </row>
    <row r="418" spans="1:5" x14ac:dyDescent="0.3">
      <c r="A418">
        <v>3472</v>
      </c>
      <c r="B418" s="1">
        <v>41321</v>
      </c>
      <c r="C418" s="1"/>
      <c r="E418" t="b">
        <f>NOT(OR(ISBLANK(tblEmployee[[#This Row],[EndDate]]),tblEmployee[[#This Row],[EndDate]]-tblEmployee[[#This Row],[StartDate]]&gt;90))</f>
        <v>0</v>
      </c>
    </row>
    <row r="419" spans="1:5" x14ac:dyDescent="0.3">
      <c r="A419">
        <v>3473</v>
      </c>
      <c r="B419" s="1">
        <v>38302</v>
      </c>
      <c r="C419" s="1"/>
      <c r="E419" t="b">
        <f>NOT(OR(ISBLANK(tblEmployee[[#This Row],[EndDate]]),tblEmployee[[#This Row],[EndDate]]-tblEmployee[[#This Row],[StartDate]]&gt;90))</f>
        <v>0</v>
      </c>
    </row>
    <row r="420" spans="1:5" x14ac:dyDescent="0.3">
      <c r="A420">
        <v>3474</v>
      </c>
      <c r="B420" s="1">
        <v>39954</v>
      </c>
      <c r="C420" s="1"/>
      <c r="E420" t="b">
        <f>NOT(OR(ISBLANK(tblEmployee[[#This Row],[EndDate]]),tblEmployee[[#This Row],[EndDate]]-tblEmployee[[#This Row],[StartDate]]&gt;90))</f>
        <v>0</v>
      </c>
    </row>
    <row r="421" spans="1:5" x14ac:dyDescent="0.3">
      <c r="A421">
        <v>3476</v>
      </c>
      <c r="B421" s="1">
        <v>43960</v>
      </c>
      <c r="C421" s="1"/>
      <c r="E421" t="b">
        <f>NOT(OR(ISBLANK(tblEmployee[[#This Row],[EndDate]]),tblEmployee[[#This Row],[EndDate]]-tblEmployee[[#This Row],[StartDate]]&gt;90))</f>
        <v>0</v>
      </c>
    </row>
    <row r="422" spans="1:5" x14ac:dyDescent="0.3">
      <c r="A422">
        <v>3477</v>
      </c>
      <c r="B422" s="1">
        <v>41244</v>
      </c>
      <c r="C422" s="1"/>
      <c r="E422" t="b">
        <f>NOT(OR(ISBLANK(tblEmployee[[#This Row],[EndDate]]),tblEmployee[[#This Row],[EndDate]]-tblEmployee[[#This Row],[StartDate]]&gt;90))</f>
        <v>0</v>
      </c>
    </row>
    <row r="423" spans="1:5" x14ac:dyDescent="0.3">
      <c r="A423">
        <v>3480</v>
      </c>
      <c r="B423" s="1">
        <v>38484</v>
      </c>
      <c r="C423" s="1"/>
      <c r="E423" t="b">
        <f>NOT(OR(ISBLANK(tblEmployee[[#This Row],[EndDate]]),tblEmployee[[#This Row],[EndDate]]-tblEmployee[[#This Row],[StartDate]]&gt;90))</f>
        <v>0</v>
      </c>
    </row>
    <row r="424" spans="1:5" x14ac:dyDescent="0.3">
      <c r="A424">
        <v>3485</v>
      </c>
      <c r="B424" s="1">
        <v>41811</v>
      </c>
      <c r="C424" s="1">
        <v>42443</v>
      </c>
      <c r="D424" t="s">
        <v>31</v>
      </c>
      <c r="E424" t="b">
        <f>NOT(OR(ISBLANK(tblEmployee[[#This Row],[EndDate]]),tblEmployee[[#This Row],[EndDate]]-tblEmployee[[#This Row],[StartDate]]&gt;90))</f>
        <v>0</v>
      </c>
    </row>
    <row r="425" spans="1:5" x14ac:dyDescent="0.3">
      <c r="A425">
        <v>3486</v>
      </c>
      <c r="B425" s="1">
        <v>38682</v>
      </c>
      <c r="C425" s="1">
        <v>38869</v>
      </c>
      <c r="D425" t="s">
        <v>56</v>
      </c>
      <c r="E425" t="b">
        <f>NOT(OR(ISBLANK(tblEmployee[[#This Row],[EndDate]]),tblEmployee[[#This Row],[EndDate]]-tblEmployee[[#This Row],[StartDate]]&gt;90))</f>
        <v>0</v>
      </c>
    </row>
    <row r="426" spans="1:5" x14ac:dyDescent="0.3">
      <c r="A426">
        <v>3493</v>
      </c>
      <c r="B426" s="1">
        <v>41370</v>
      </c>
      <c r="C426" s="1"/>
      <c r="E426" t="b">
        <f>NOT(OR(ISBLANK(tblEmployee[[#This Row],[EndDate]]),tblEmployee[[#This Row],[EndDate]]-tblEmployee[[#This Row],[StartDate]]&gt;90))</f>
        <v>0</v>
      </c>
    </row>
    <row r="427" spans="1:5" x14ac:dyDescent="0.3">
      <c r="A427">
        <v>3494</v>
      </c>
      <c r="B427" s="1">
        <v>39482</v>
      </c>
      <c r="C427" s="1"/>
      <c r="E427" t="b">
        <f>NOT(OR(ISBLANK(tblEmployee[[#This Row],[EndDate]]),tblEmployee[[#This Row],[EndDate]]-tblEmployee[[#This Row],[StartDate]]&gt;90))</f>
        <v>0</v>
      </c>
    </row>
    <row r="428" spans="1:5" x14ac:dyDescent="0.3">
      <c r="A428">
        <v>3502</v>
      </c>
      <c r="B428" s="1">
        <v>41004</v>
      </c>
      <c r="C428" s="1"/>
      <c r="E428" t="b">
        <f>NOT(OR(ISBLANK(tblEmployee[[#This Row],[EndDate]]),tblEmployee[[#This Row],[EndDate]]-tblEmployee[[#This Row],[StartDate]]&gt;90))</f>
        <v>0</v>
      </c>
    </row>
    <row r="429" spans="1:5" x14ac:dyDescent="0.3">
      <c r="A429">
        <v>3505</v>
      </c>
      <c r="B429" s="1">
        <v>40739</v>
      </c>
      <c r="C429" s="1"/>
      <c r="E429" t="b">
        <f>NOT(OR(ISBLANK(tblEmployee[[#This Row],[EndDate]]),tblEmployee[[#This Row],[EndDate]]-tblEmployee[[#This Row],[StartDate]]&gt;90))</f>
        <v>0</v>
      </c>
    </row>
    <row r="430" spans="1:5" x14ac:dyDescent="0.3">
      <c r="A430">
        <v>3506</v>
      </c>
      <c r="B430" s="1">
        <v>39833</v>
      </c>
      <c r="C430" s="1">
        <v>42500</v>
      </c>
      <c r="D430" t="s">
        <v>26</v>
      </c>
      <c r="E430" t="b">
        <f>NOT(OR(ISBLANK(tblEmployee[[#This Row],[EndDate]]),tblEmployee[[#This Row],[EndDate]]-tblEmployee[[#This Row],[StartDate]]&gt;90))</f>
        <v>0</v>
      </c>
    </row>
    <row r="431" spans="1:5" x14ac:dyDescent="0.3">
      <c r="A431">
        <v>3507</v>
      </c>
      <c r="B431" s="1">
        <v>43876</v>
      </c>
      <c r="C431" s="1"/>
      <c r="E431" t="b">
        <f>NOT(OR(ISBLANK(tblEmployee[[#This Row],[EndDate]]),tblEmployee[[#This Row],[EndDate]]-tblEmployee[[#This Row],[StartDate]]&gt;90))</f>
        <v>0</v>
      </c>
    </row>
    <row r="432" spans="1:5" x14ac:dyDescent="0.3">
      <c r="A432">
        <v>3522</v>
      </c>
      <c r="B432" s="1">
        <v>42137</v>
      </c>
      <c r="C432" s="1"/>
      <c r="E432" t="b">
        <f>NOT(OR(ISBLANK(tblEmployee[[#This Row],[EndDate]]),tblEmployee[[#This Row],[EndDate]]-tblEmployee[[#This Row],[StartDate]]&gt;90))</f>
        <v>0</v>
      </c>
    </row>
    <row r="433" spans="1:5" x14ac:dyDescent="0.3">
      <c r="A433">
        <v>3530</v>
      </c>
      <c r="B433" s="1">
        <v>40717</v>
      </c>
      <c r="C433" s="1"/>
      <c r="E433" t="b">
        <f>NOT(OR(ISBLANK(tblEmployee[[#This Row],[EndDate]]),tblEmployee[[#This Row],[EndDate]]-tblEmployee[[#This Row],[StartDate]]&gt;90))</f>
        <v>0</v>
      </c>
    </row>
    <row r="434" spans="1:5" x14ac:dyDescent="0.3">
      <c r="A434">
        <v>3532</v>
      </c>
      <c r="B434" s="1">
        <v>44221</v>
      </c>
      <c r="C434" s="1">
        <v>44492</v>
      </c>
      <c r="D434" t="s">
        <v>26</v>
      </c>
      <c r="E434" t="b">
        <f>NOT(OR(ISBLANK(tblEmployee[[#This Row],[EndDate]]),tblEmployee[[#This Row],[EndDate]]-tblEmployee[[#This Row],[StartDate]]&gt;90))</f>
        <v>0</v>
      </c>
    </row>
    <row r="435" spans="1:5" x14ac:dyDescent="0.3">
      <c r="A435">
        <v>3533</v>
      </c>
      <c r="B435" s="1">
        <v>39446</v>
      </c>
      <c r="C435" s="1"/>
      <c r="E435" t="b">
        <f>NOT(OR(ISBLANK(tblEmployee[[#This Row],[EndDate]]),tblEmployee[[#This Row],[EndDate]]-tblEmployee[[#This Row],[StartDate]]&gt;90))</f>
        <v>0</v>
      </c>
    </row>
    <row r="436" spans="1:5" x14ac:dyDescent="0.3">
      <c r="A436">
        <v>3534</v>
      </c>
      <c r="B436" s="1">
        <v>37683</v>
      </c>
      <c r="C436" s="1"/>
      <c r="E436" t="b">
        <f>NOT(OR(ISBLANK(tblEmployee[[#This Row],[EndDate]]),tblEmployee[[#This Row],[EndDate]]-tblEmployee[[#This Row],[StartDate]]&gt;90))</f>
        <v>0</v>
      </c>
    </row>
    <row r="437" spans="1:5" x14ac:dyDescent="0.3">
      <c r="A437">
        <v>3547</v>
      </c>
      <c r="B437" s="1">
        <v>43034</v>
      </c>
      <c r="C437" s="1"/>
      <c r="E437" t="b">
        <f>NOT(OR(ISBLANK(tblEmployee[[#This Row],[EndDate]]),tblEmployee[[#This Row],[EndDate]]-tblEmployee[[#This Row],[StartDate]]&gt;90))</f>
        <v>0</v>
      </c>
    </row>
    <row r="438" spans="1:5" x14ac:dyDescent="0.3">
      <c r="A438">
        <v>3552</v>
      </c>
      <c r="B438" s="1">
        <v>43711</v>
      </c>
      <c r="C438" s="1">
        <v>44290</v>
      </c>
      <c r="D438" t="s">
        <v>25</v>
      </c>
      <c r="E438" t="b">
        <f>NOT(OR(ISBLANK(tblEmployee[[#This Row],[EndDate]]),tblEmployee[[#This Row],[EndDate]]-tblEmployee[[#This Row],[StartDate]]&gt;90))</f>
        <v>0</v>
      </c>
    </row>
    <row r="439" spans="1:5" x14ac:dyDescent="0.3">
      <c r="A439">
        <v>3554</v>
      </c>
      <c r="B439" s="1">
        <v>38666</v>
      </c>
      <c r="C439" s="1">
        <v>42849</v>
      </c>
      <c r="D439" t="s">
        <v>26</v>
      </c>
      <c r="E439" t="b">
        <f>NOT(OR(ISBLANK(tblEmployee[[#This Row],[EndDate]]),tblEmployee[[#This Row],[EndDate]]-tblEmployee[[#This Row],[StartDate]]&gt;90))</f>
        <v>0</v>
      </c>
    </row>
    <row r="440" spans="1:5" x14ac:dyDescent="0.3">
      <c r="A440">
        <v>3571</v>
      </c>
      <c r="B440" s="1">
        <v>40026</v>
      </c>
      <c r="C440" s="1"/>
      <c r="E440" t="b">
        <f>NOT(OR(ISBLANK(tblEmployee[[#This Row],[EndDate]]),tblEmployee[[#This Row],[EndDate]]-tblEmployee[[#This Row],[StartDate]]&gt;90))</f>
        <v>0</v>
      </c>
    </row>
    <row r="441" spans="1:5" x14ac:dyDescent="0.3">
      <c r="A441">
        <v>3572</v>
      </c>
      <c r="B441" s="1">
        <v>38782</v>
      </c>
      <c r="C441" s="1">
        <v>39334</v>
      </c>
      <c r="D441" t="s">
        <v>27</v>
      </c>
      <c r="E441" t="b">
        <f>NOT(OR(ISBLANK(tblEmployee[[#This Row],[EndDate]]),tblEmployee[[#This Row],[EndDate]]-tblEmployee[[#This Row],[StartDate]]&gt;90))</f>
        <v>0</v>
      </c>
    </row>
    <row r="442" spans="1:5" x14ac:dyDescent="0.3">
      <c r="A442">
        <v>3579</v>
      </c>
      <c r="B442" s="1">
        <v>37690</v>
      </c>
      <c r="C442" s="1"/>
      <c r="E442" t="b">
        <f>NOT(OR(ISBLANK(tblEmployee[[#This Row],[EndDate]]),tblEmployee[[#This Row],[EndDate]]-tblEmployee[[#This Row],[StartDate]]&gt;90))</f>
        <v>0</v>
      </c>
    </row>
    <row r="443" spans="1:5" x14ac:dyDescent="0.3">
      <c r="A443">
        <v>3580</v>
      </c>
      <c r="B443" s="1">
        <v>44337</v>
      </c>
      <c r="C443" s="1">
        <v>44362</v>
      </c>
      <c r="D443" t="s">
        <v>30</v>
      </c>
      <c r="E443" t="b">
        <f>NOT(OR(ISBLANK(tblEmployee[[#This Row],[EndDate]]),tblEmployee[[#This Row],[EndDate]]-tblEmployee[[#This Row],[StartDate]]&gt;90))</f>
        <v>1</v>
      </c>
    </row>
    <row r="444" spans="1:5" x14ac:dyDescent="0.3">
      <c r="A444">
        <v>3588</v>
      </c>
      <c r="B444" s="1">
        <v>40192</v>
      </c>
      <c r="C444" s="1"/>
      <c r="E444" t="b">
        <f>NOT(OR(ISBLANK(tblEmployee[[#This Row],[EndDate]]),tblEmployee[[#This Row],[EndDate]]-tblEmployee[[#This Row],[StartDate]]&gt;90))</f>
        <v>0</v>
      </c>
    </row>
    <row r="445" spans="1:5" x14ac:dyDescent="0.3">
      <c r="A445">
        <v>3589</v>
      </c>
      <c r="B445" s="1">
        <v>43464</v>
      </c>
      <c r="C445" s="1"/>
      <c r="E445" t="b">
        <f>NOT(OR(ISBLANK(tblEmployee[[#This Row],[EndDate]]),tblEmployee[[#This Row],[EndDate]]-tblEmployee[[#This Row],[StartDate]]&gt;90))</f>
        <v>0</v>
      </c>
    </row>
    <row r="446" spans="1:5" x14ac:dyDescent="0.3">
      <c r="A446">
        <v>3598</v>
      </c>
      <c r="B446" s="1">
        <v>44079</v>
      </c>
      <c r="C446" s="1"/>
      <c r="E446" t="b">
        <f>NOT(OR(ISBLANK(tblEmployee[[#This Row],[EndDate]]),tblEmployee[[#This Row],[EndDate]]-tblEmployee[[#This Row],[StartDate]]&gt;90))</f>
        <v>0</v>
      </c>
    </row>
    <row r="447" spans="1:5" x14ac:dyDescent="0.3">
      <c r="A447">
        <v>3606</v>
      </c>
      <c r="B447" s="1">
        <v>40245</v>
      </c>
      <c r="C447" s="1"/>
      <c r="E447" t="b">
        <f>NOT(OR(ISBLANK(tblEmployee[[#This Row],[EndDate]]),tblEmployee[[#This Row],[EndDate]]-tblEmployee[[#This Row],[StartDate]]&gt;90))</f>
        <v>0</v>
      </c>
    </row>
    <row r="448" spans="1:5" x14ac:dyDescent="0.3">
      <c r="A448">
        <v>3615</v>
      </c>
      <c r="B448" s="1">
        <v>40437</v>
      </c>
      <c r="C448" s="1"/>
      <c r="E448" t="b">
        <f>NOT(OR(ISBLANK(tblEmployee[[#This Row],[EndDate]]),tblEmployee[[#This Row],[EndDate]]-tblEmployee[[#This Row],[StartDate]]&gt;90))</f>
        <v>0</v>
      </c>
    </row>
    <row r="449" spans="1:5" x14ac:dyDescent="0.3">
      <c r="A449">
        <v>3619</v>
      </c>
      <c r="B449" s="1">
        <v>41553</v>
      </c>
      <c r="C449" s="1"/>
      <c r="E449" t="b">
        <f>NOT(OR(ISBLANK(tblEmployee[[#This Row],[EndDate]]),tblEmployee[[#This Row],[EndDate]]-tblEmployee[[#This Row],[StartDate]]&gt;90))</f>
        <v>0</v>
      </c>
    </row>
    <row r="450" spans="1:5" x14ac:dyDescent="0.3">
      <c r="A450">
        <v>3635</v>
      </c>
      <c r="B450" s="1">
        <v>40951</v>
      </c>
      <c r="C450" s="1"/>
      <c r="E450" t="b">
        <f>NOT(OR(ISBLANK(tblEmployee[[#This Row],[EndDate]]),tblEmployee[[#This Row],[EndDate]]-tblEmployee[[#This Row],[StartDate]]&gt;90))</f>
        <v>0</v>
      </c>
    </row>
    <row r="451" spans="1:5" x14ac:dyDescent="0.3">
      <c r="A451">
        <v>3639</v>
      </c>
      <c r="B451" s="1">
        <v>38474</v>
      </c>
      <c r="C451" s="1"/>
      <c r="E451" t="b">
        <f>NOT(OR(ISBLANK(tblEmployee[[#This Row],[EndDate]]),tblEmployee[[#This Row],[EndDate]]-tblEmployee[[#This Row],[StartDate]]&gt;90))</f>
        <v>0</v>
      </c>
    </row>
    <row r="452" spans="1:5" x14ac:dyDescent="0.3">
      <c r="A452">
        <v>3645</v>
      </c>
      <c r="B452" s="1">
        <v>38577</v>
      </c>
      <c r="C452" s="1"/>
      <c r="E452" t="b">
        <f>NOT(OR(ISBLANK(tblEmployee[[#This Row],[EndDate]]),tblEmployee[[#This Row],[EndDate]]-tblEmployee[[#This Row],[StartDate]]&gt;90))</f>
        <v>0</v>
      </c>
    </row>
    <row r="453" spans="1:5" x14ac:dyDescent="0.3">
      <c r="A453">
        <v>3651</v>
      </c>
      <c r="B453" s="1">
        <v>40760</v>
      </c>
      <c r="C453" s="1"/>
      <c r="E453" t="b">
        <f>NOT(OR(ISBLANK(tblEmployee[[#This Row],[EndDate]]),tblEmployee[[#This Row],[EndDate]]-tblEmployee[[#This Row],[StartDate]]&gt;90))</f>
        <v>0</v>
      </c>
    </row>
    <row r="454" spans="1:5" x14ac:dyDescent="0.3">
      <c r="A454">
        <v>3660</v>
      </c>
      <c r="B454" s="1">
        <v>38296</v>
      </c>
      <c r="C454" s="1"/>
      <c r="E454" t="b">
        <f>NOT(OR(ISBLANK(tblEmployee[[#This Row],[EndDate]]),tblEmployee[[#This Row],[EndDate]]-tblEmployee[[#This Row],[StartDate]]&gt;90))</f>
        <v>0</v>
      </c>
    </row>
    <row r="455" spans="1:5" x14ac:dyDescent="0.3">
      <c r="A455">
        <v>3675</v>
      </c>
      <c r="B455" s="1">
        <v>38736</v>
      </c>
      <c r="C455" s="1"/>
      <c r="E455" t="b">
        <f>NOT(OR(ISBLANK(tblEmployee[[#This Row],[EndDate]]),tblEmployee[[#This Row],[EndDate]]-tblEmployee[[#This Row],[StartDate]]&gt;90))</f>
        <v>0</v>
      </c>
    </row>
    <row r="456" spans="1:5" x14ac:dyDescent="0.3">
      <c r="A456">
        <v>3678</v>
      </c>
      <c r="B456" s="1">
        <v>43783</v>
      </c>
      <c r="C456" s="1">
        <v>43954</v>
      </c>
      <c r="D456" t="s">
        <v>27</v>
      </c>
      <c r="E456" t="b">
        <f>NOT(OR(ISBLANK(tblEmployee[[#This Row],[EndDate]]),tblEmployee[[#This Row],[EndDate]]-tblEmployee[[#This Row],[StartDate]]&gt;90))</f>
        <v>0</v>
      </c>
    </row>
    <row r="457" spans="1:5" x14ac:dyDescent="0.3">
      <c r="A457">
        <v>3679</v>
      </c>
      <c r="B457" s="1">
        <v>38125</v>
      </c>
      <c r="C457" s="1"/>
      <c r="E457" t="b">
        <f>NOT(OR(ISBLANK(tblEmployee[[#This Row],[EndDate]]),tblEmployee[[#This Row],[EndDate]]-tblEmployee[[#This Row],[StartDate]]&gt;90))</f>
        <v>0</v>
      </c>
    </row>
    <row r="458" spans="1:5" x14ac:dyDescent="0.3">
      <c r="A458">
        <v>3681</v>
      </c>
      <c r="B458" s="1">
        <v>42065</v>
      </c>
      <c r="C458" s="1">
        <v>42739</v>
      </c>
      <c r="D458" t="s">
        <v>56</v>
      </c>
      <c r="E458" t="b">
        <f>NOT(OR(ISBLANK(tblEmployee[[#This Row],[EndDate]]),tblEmployee[[#This Row],[EndDate]]-tblEmployee[[#This Row],[StartDate]]&gt;90))</f>
        <v>0</v>
      </c>
    </row>
    <row r="459" spans="1:5" x14ac:dyDescent="0.3">
      <c r="A459">
        <v>3690</v>
      </c>
      <c r="B459" s="1">
        <v>38953</v>
      </c>
      <c r="C459" s="1"/>
      <c r="E459" t="b">
        <f>NOT(OR(ISBLANK(tblEmployee[[#This Row],[EndDate]]),tblEmployee[[#This Row],[EndDate]]-tblEmployee[[#This Row],[StartDate]]&gt;90))</f>
        <v>0</v>
      </c>
    </row>
    <row r="460" spans="1:5" x14ac:dyDescent="0.3">
      <c r="A460">
        <v>3694</v>
      </c>
      <c r="B460" s="1">
        <v>39141</v>
      </c>
      <c r="C460" s="1"/>
      <c r="E460" t="b">
        <f>NOT(OR(ISBLANK(tblEmployee[[#This Row],[EndDate]]),tblEmployee[[#This Row],[EndDate]]-tblEmployee[[#This Row],[StartDate]]&gt;90))</f>
        <v>0</v>
      </c>
    </row>
    <row r="461" spans="1:5" x14ac:dyDescent="0.3">
      <c r="A461">
        <v>3695</v>
      </c>
      <c r="B461" s="1">
        <v>40755</v>
      </c>
      <c r="C461" s="1"/>
      <c r="E461" t="b">
        <f>NOT(OR(ISBLANK(tblEmployee[[#This Row],[EndDate]]),tblEmployee[[#This Row],[EndDate]]-tblEmployee[[#This Row],[StartDate]]&gt;90))</f>
        <v>0</v>
      </c>
    </row>
    <row r="462" spans="1:5" x14ac:dyDescent="0.3">
      <c r="A462">
        <v>3700</v>
      </c>
      <c r="B462" s="1">
        <v>41767</v>
      </c>
      <c r="C462" s="1"/>
      <c r="E462" t="b">
        <f>NOT(OR(ISBLANK(tblEmployee[[#This Row],[EndDate]]),tblEmployee[[#This Row],[EndDate]]-tblEmployee[[#This Row],[StartDate]]&gt;90))</f>
        <v>0</v>
      </c>
    </row>
    <row r="463" spans="1:5" x14ac:dyDescent="0.3">
      <c r="A463">
        <v>3708</v>
      </c>
      <c r="B463" s="1">
        <v>40546</v>
      </c>
      <c r="C463" s="1">
        <v>44523</v>
      </c>
      <c r="D463" t="s">
        <v>56</v>
      </c>
      <c r="E463" t="b">
        <f>NOT(OR(ISBLANK(tblEmployee[[#This Row],[EndDate]]),tblEmployee[[#This Row],[EndDate]]-tblEmployee[[#This Row],[StartDate]]&gt;90))</f>
        <v>0</v>
      </c>
    </row>
    <row r="464" spans="1:5" x14ac:dyDescent="0.3">
      <c r="A464">
        <v>3722</v>
      </c>
      <c r="B464" s="1">
        <v>38767</v>
      </c>
      <c r="C464" s="1"/>
      <c r="E464" t="b">
        <f>NOT(OR(ISBLANK(tblEmployee[[#This Row],[EndDate]]),tblEmployee[[#This Row],[EndDate]]-tblEmployee[[#This Row],[StartDate]]&gt;90))</f>
        <v>0</v>
      </c>
    </row>
    <row r="465" spans="1:5" x14ac:dyDescent="0.3">
      <c r="A465">
        <v>3732</v>
      </c>
      <c r="B465" s="1">
        <v>42153</v>
      </c>
      <c r="C465" s="1"/>
      <c r="E465" t="b">
        <f>NOT(OR(ISBLANK(tblEmployee[[#This Row],[EndDate]]),tblEmployee[[#This Row],[EndDate]]-tblEmployee[[#This Row],[StartDate]]&gt;90))</f>
        <v>0</v>
      </c>
    </row>
    <row r="466" spans="1:5" x14ac:dyDescent="0.3">
      <c r="A466">
        <v>3740</v>
      </c>
      <c r="B466" s="1">
        <v>40489</v>
      </c>
      <c r="C466" s="1"/>
      <c r="E466" t="b">
        <f>NOT(OR(ISBLANK(tblEmployee[[#This Row],[EndDate]]),tblEmployee[[#This Row],[EndDate]]-tblEmployee[[#This Row],[StartDate]]&gt;90))</f>
        <v>0</v>
      </c>
    </row>
    <row r="467" spans="1:5" x14ac:dyDescent="0.3">
      <c r="A467">
        <v>3748</v>
      </c>
      <c r="B467" s="1">
        <v>39217</v>
      </c>
      <c r="C467" s="1">
        <v>40730</v>
      </c>
      <c r="D467" t="s">
        <v>25</v>
      </c>
      <c r="E467" t="b">
        <f>NOT(OR(ISBLANK(tblEmployee[[#This Row],[EndDate]]),tblEmployee[[#This Row],[EndDate]]-tblEmployee[[#This Row],[StartDate]]&gt;90))</f>
        <v>0</v>
      </c>
    </row>
    <row r="468" spans="1:5" x14ac:dyDescent="0.3">
      <c r="A468">
        <v>3759</v>
      </c>
      <c r="B468" s="1">
        <v>38488</v>
      </c>
      <c r="C468" s="1"/>
      <c r="E468" t="b">
        <f>NOT(OR(ISBLANK(tblEmployee[[#This Row],[EndDate]]),tblEmployee[[#This Row],[EndDate]]-tblEmployee[[#This Row],[StartDate]]&gt;90))</f>
        <v>0</v>
      </c>
    </row>
    <row r="469" spans="1:5" x14ac:dyDescent="0.3">
      <c r="A469">
        <v>3762</v>
      </c>
      <c r="B469" s="1">
        <v>39317</v>
      </c>
      <c r="C469" s="1"/>
      <c r="E469" t="b">
        <f>NOT(OR(ISBLANK(tblEmployee[[#This Row],[EndDate]]),tblEmployee[[#This Row],[EndDate]]-tblEmployee[[#This Row],[StartDate]]&gt;90))</f>
        <v>0</v>
      </c>
    </row>
    <row r="470" spans="1:5" x14ac:dyDescent="0.3">
      <c r="A470">
        <v>3773</v>
      </c>
      <c r="B470" s="1">
        <v>38173</v>
      </c>
      <c r="C470" s="1"/>
      <c r="E470" t="b">
        <f>NOT(OR(ISBLANK(tblEmployee[[#This Row],[EndDate]]),tblEmployee[[#This Row],[EndDate]]-tblEmployee[[#This Row],[StartDate]]&gt;90))</f>
        <v>0</v>
      </c>
    </row>
    <row r="471" spans="1:5" x14ac:dyDescent="0.3">
      <c r="A471">
        <v>3776</v>
      </c>
      <c r="B471" s="1">
        <v>41031</v>
      </c>
      <c r="C471" s="1"/>
      <c r="E471" t="b">
        <f>NOT(OR(ISBLANK(tblEmployee[[#This Row],[EndDate]]),tblEmployee[[#This Row],[EndDate]]-tblEmployee[[#This Row],[StartDate]]&gt;90))</f>
        <v>0</v>
      </c>
    </row>
    <row r="472" spans="1:5" x14ac:dyDescent="0.3">
      <c r="A472">
        <v>3777</v>
      </c>
      <c r="B472" s="1">
        <v>40728</v>
      </c>
      <c r="C472" s="1"/>
      <c r="E472" t="b">
        <f>NOT(OR(ISBLANK(tblEmployee[[#This Row],[EndDate]]),tblEmployee[[#This Row],[EndDate]]-tblEmployee[[#This Row],[StartDate]]&gt;90))</f>
        <v>0</v>
      </c>
    </row>
    <row r="473" spans="1:5" x14ac:dyDescent="0.3">
      <c r="A473">
        <v>3786</v>
      </c>
      <c r="B473" s="1">
        <v>40027</v>
      </c>
      <c r="C473" s="1"/>
      <c r="E473" t="b">
        <f>NOT(OR(ISBLANK(tblEmployee[[#This Row],[EndDate]]),tblEmployee[[#This Row],[EndDate]]-tblEmployee[[#This Row],[StartDate]]&gt;90))</f>
        <v>0</v>
      </c>
    </row>
    <row r="474" spans="1:5" x14ac:dyDescent="0.3">
      <c r="A474">
        <v>3798</v>
      </c>
      <c r="B474" s="1">
        <v>38673</v>
      </c>
      <c r="C474" s="1"/>
      <c r="E474" t="b">
        <f>NOT(OR(ISBLANK(tblEmployee[[#This Row],[EndDate]]),tblEmployee[[#This Row],[EndDate]]-tblEmployee[[#This Row],[StartDate]]&gt;90))</f>
        <v>0</v>
      </c>
    </row>
    <row r="475" spans="1:5" x14ac:dyDescent="0.3">
      <c r="A475">
        <v>3803</v>
      </c>
      <c r="B475" s="1">
        <v>39160</v>
      </c>
      <c r="C475" s="1">
        <v>41715</v>
      </c>
      <c r="D475" t="s">
        <v>26</v>
      </c>
      <c r="E475" t="b">
        <f>NOT(OR(ISBLANK(tblEmployee[[#This Row],[EndDate]]),tblEmployee[[#This Row],[EndDate]]-tblEmployee[[#This Row],[StartDate]]&gt;90))</f>
        <v>0</v>
      </c>
    </row>
    <row r="476" spans="1:5" x14ac:dyDescent="0.3">
      <c r="A476">
        <v>3806</v>
      </c>
      <c r="B476" s="1">
        <v>42308</v>
      </c>
      <c r="C476" s="1">
        <v>43582</v>
      </c>
      <c r="D476" t="s">
        <v>25</v>
      </c>
      <c r="E476" t="b">
        <f>NOT(OR(ISBLANK(tblEmployee[[#This Row],[EndDate]]),tblEmployee[[#This Row],[EndDate]]-tblEmployee[[#This Row],[StartDate]]&gt;90))</f>
        <v>0</v>
      </c>
    </row>
    <row r="477" spans="1:5" x14ac:dyDescent="0.3">
      <c r="A477">
        <v>3807</v>
      </c>
      <c r="B477" s="1">
        <v>43846</v>
      </c>
      <c r="C477" s="1"/>
      <c r="E477" t="b">
        <f>NOT(OR(ISBLANK(tblEmployee[[#This Row],[EndDate]]),tblEmployee[[#This Row],[EndDate]]-tblEmployee[[#This Row],[StartDate]]&gt;90))</f>
        <v>0</v>
      </c>
    </row>
    <row r="478" spans="1:5" x14ac:dyDescent="0.3">
      <c r="A478">
        <v>3810</v>
      </c>
      <c r="B478" s="1">
        <v>43700</v>
      </c>
      <c r="C478" s="1"/>
      <c r="E478" t="b">
        <f>NOT(OR(ISBLANK(tblEmployee[[#This Row],[EndDate]]),tblEmployee[[#This Row],[EndDate]]-tblEmployee[[#This Row],[StartDate]]&gt;90))</f>
        <v>0</v>
      </c>
    </row>
    <row r="479" spans="1:5" x14ac:dyDescent="0.3">
      <c r="A479">
        <v>3816</v>
      </c>
      <c r="B479" s="1">
        <v>42519</v>
      </c>
      <c r="C479" s="1"/>
      <c r="E479" t="b">
        <f>NOT(OR(ISBLANK(tblEmployee[[#This Row],[EndDate]]),tblEmployee[[#This Row],[EndDate]]-tblEmployee[[#This Row],[StartDate]]&gt;90))</f>
        <v>0</v>
      </c>
    </row>
    <row r="480" spans="1:5" x14ac:dyDescent="0.3">
      <c r="A480">
        <v>3826</v>
      </c>
      <c r="B480" s="1">
        <v>41240</v>
      </c>
      <c r="C480" s="1"/>
      <c r="E480" t="b">
        <f>NOT(OR(ISBLANK(tblEmployee[[#This Row],[EndDate]]),tblEmployee[[#This Row],[EndDate]]-tblEmployee[[#This Row],[StartDate]]&gt;90))</f>
        <v>0</v>
      </c>
    </row>
    <row r="481" spans="1:5" x14ac:dyDescent="0.3">
      <c r="A481">
        <v>3831</v>
      </c>
      <c r="B481" s="1">
        <v>43065</v>
      </c>
      <c r="C481" s="1"/>
      <c r="E481" t="b">
        <f>NOT(OR(ISBLANK(tblEmployee[[#This Row],[EndDate]]),tblEmployee[[#This Row],[EndDate]]-tblEmployee[[#This Row],[StartDate]]&gt;90))</f>
        <v>0</v>
      </c>
    </row>
    <row r="482" spans="1:5" x14ac:dyDescent="0.3">
      <c r="A482">
        <v>3833</v>
      </c>
      <c r="B482" s="1">
        <v>37430</v>
      </c>
      <c r="C482" s="1"/>
      <c r="E482" t="b">
        <f>NOT(OR(ISBLANK(tblEmployee[[#This Row],[EndDate]]),tblEmployee[[#This Row],[EndDate]]-tblEmployee[[#This Row],[StartDate]]&gt;90))</f>
        <v>0</v>
      </c>
    </row>
    <row r="483" spans="1:5" x14ac:dyDescent="0.3">
      <c r="A483">
        <v>3834</v>
      </c>
      <c r="B483" s="1">
        <v>38162</v>
      </c>
      <c r="C483" s="1"/>
      <c r="E483" t="b">
        <f>NOT(OR(ISBLANK(tblEmployee[[#This Row],[EndDate]]),tblEmployee[[#This Row],[EndDate]]-tblEmployee[[#This Row],[StartDate]]&gt;90))</f>
        <v>0</v>
      </c>
    </row>
    <row r="484" spans="1:5" x14ac:dyDescent="0.3">
      <c r="A484">
        <v>3842</v>
      </c>
      <c r="B484" s="1">
        <v>42514</v>
      </c>
      <c r="C484" s="1"/>
      <c r="E484" t="b">
        <f>NOT(OR(ISBLANK(tblEmployee[[#This Row],[EndDate]]),tblEmployee[[#This Row],[EndDate]]-tblEmployee[[#This Row],[StartDate]]&gt;90))</f>
        <v>0</v>
      </c>
    </row>
    <row r="485" spans="1:5" x14ac:dyDescent="0.3">
      <c r="A485">
        <v>3847</v>
      </c>
      <c r="B485" s="1">
        <v>38559</v>
      </c>
      <c r="C485" s="1"/>
      <c r="E485" t="b">
        <f>NOT(OR(ISBLANK(tblEmployee[[#This Row],[EndDate]]),tblEmployee[[#This Row],[EndDate]]-tblEmployee[[#This Row],[StartDate]]&gt;90))</f>
        <v>0</v>
      </c>
    </row>
    <row r="486" spans="1:5" x14ac:dyDescent="0.3">
      <c r="A486">
        <v>3850</v>
      </c>
      <c r="B486" s="1">
        <v>43410</v>
      </c>
      <c r="C486" s="1"/>
      <c r="E486" t="b">
        <f>NOT(OR(ISBLANK(tblEmployee[[#This Row],[EndDate]]),tblEmployee[[#This Row],[EndDate]]-tblEmployee[[#This Row],[StartDate]]&gt;90))</f>
        <v>0</v>
      </c>
    </row>
    <row r="487" spans="1:5" x14ac:dyDescent="0.3">
      <c r="A487">
        <v>3864</v>
      </c>
      <c r="B487" s="1">
        <v>43734</v>
      </c>
      <c r="C487" s="1"/>
      <c r="E487" t="b">
        <f>NOT(OR(ISBLANK(tblEmployee[[#This Row],[EndDate]]),tblEmployee[[#This Row],[EndDate]]-tblEmployee[[#This Row],[StartDate]]&gt;90))</f>
        <v>0</v>
      </c>
    </row>
    <row r="488" spans="1:5" x14ac:dyDescent="0.3">
      <c r="A488">
        <v>3867</v>
      </c>
      <c r="B488" s="1">
        <v>38723</v>
      </c>
      <c r="C488" s="1"/>
      <c r="E488" t="b">
        <f>NOT(OR(ISBLANK(tblEmployee[[#This Row],[EndDate]]),tblEmployee[[#This Row],[EndDate]]-tblEmployee[[#This Row],[StartDate]]&gt;90))</f>
        <v>0</v>
      </c>
    </row>
    <row r="489" spans="1:5" x14ac:dyDescent="0.3">
      <c r="A489">
        <v>3870</v>
      </c>
      <c r="B489" s="1">
        <v>42070</v>
      </c>
      <c r="C489" s="1"/>
      <c r="E489" t="b">
        <f>NOT(OR(ISBLANK(tblEmployee[[#This Row],[EndDate]]),tblEmployee[[#This Row],[EndDate]]-tblEmployee[[#This Row],[StartDate]]&gt;90))</f>
        <v>0</v>
      </c>
    </row>
    <row r="490" spans="1:5" x14ac:dyDescent="0.3">
      <c r="A490">
        <v>3882</v>
      </c>
      <c r="B490" s="1">
        <v>42126</v>
      </c>
      <c r="C490" s="1">
        <v>43693</v>
      </c>
      <c r="D490" t="s">
        <v>56</v>
      </c>
      <c r="E490" t="b">
        <f>NOT(OR(ISBLANK(tblEmployee[[#This Row],[EndDate]]),tblEmployee[[#This Row],[EndDate]]-tblEmployee[[#This Row],[StartDate]]&gt;90))</f>
        <v>0</v>
      </c>
    </row>
    <row r="491" spans="1:5" x14ac:dyDescent="0.3">
      <c r="A491">
        <v>3888</v>
      </c>
      <c r="B491" s="1">
        <v>39380</v>
      </c>
      <c r="C491" s="1"/>
      <c r="E491" t="b">
        <f>NOT(OR(ISBLANK(tblEmployee[[#This Row],[EndDate]]),tblEmployee[[#This Row],[EndDate]]-tblEmployee[[#This Row],[StartDate]]&gt;90))</f>
        <v>0</v>
      </c>
    </row>
    <row r="492" spans="1:5" x14ac:dyDescent="0.3">
      <c r="A492">
        <v>3895</v>
      </c>
      <c r="B492" s="1">
        <v>37764</v>
      </c>
      <c r="C492" s="1"/>
      <c r="E492" t="b">
        <f>NOT(OR(ISBLANK(tblEmployee[[#This Row],[EndDate]]),tblEmployee[[#This Row],[EndDate]]-tblEmployee[[#This Row],[StartDate]]&gt;90))</f>
        <v>0</v>
      </c>
    </row>
    <row r="493" spans="1:5" x14ac:dyDescent="0.3">
      <c r="A493">
        <v>3899</v>
      </c>
      <c r="B493" s="1">
        <v>44189</v>
      </c>
      <c r="C493" s="1">
        <v>44318</v>
      </c>
      <c r="D493" t="s">
        <v>25</v>
      </c>
      <c r="E493" t="b">
        <f>NOT(OR(ISBLANK(tblEmployee[[#This Row],[EndDate]]),tblEmployee[[#This Row],[EndDate]]-tblEmployee[[#This Row],[StartDate]]&gt;90))</f>
        <v>0</v>
      </c>
    </row>
    <row r="494" spans="1:5" x14ac:dyDescent="0.3">
      <c r="A494">
        <v>3901</v>
      </c>
      <c r="B494" s="1">
        <v>37375</v>
      </c>
      <c r="C494" s="1"/>
      <c r="E494" t="b">
        <f>NOT(OR(ISBLANK(tblEmployee[[#This Row],[EndDate]]),tblEmployee[[#This Row],[EndDate]]-tblEmployee[[#This Row],[StartDate]]&gt;90))</f>
        <v>0</v>
      </c>
    </row>
    <row r="495" spans="1:5" x14ac:dyDescent="0.3">
      <c r="A495">
        <v>3904</v>
      </c>
      <c r="B495" s="1">
        <v>37379</v>
      </c>
      <c r="C495" s="1"/>
      <c r="E495" t="b">
        <f>NOT(OR(ISBLANK(tblEmployee[[#This Row],[EndDate]]),tblEmployee[[#This Row],[EndDate]]-tblEmployee[[#This Row],[StartDate]]&gt;90))</f>
        <v>0</v>
      </c>
    </row>
    <row r="496" spans="1:5" x14ac:dyDescent="0.3">
      <c r="A496">
        <v>3905</v>
      </c>
      <c r="B496" s="1">
        <v>40237</v>
      </c>
      <c r="C496" s="1"/>
      <c r="E496" t="b">
        <f>NOT(OR(ISBLANK(tblEmployee[[#This Row],[EndDate]]),tblEmployee[[#This Row],[EndDate]]-tblEmployee[[#This Row],[StartDate]]&gt;90))</f>
        <v>0</v>
      </c>
    </row>
    <row r="497" spans="1:5" x14ac:dyDescent="0.3">
      <c r="A497">
        <v>3908</v>
      </c>
      <c r="B497" s="1">
        <v>37687</v>
      </c>
      <c r="C497" s="1">
        <v>39718</v>
      </c>
      <c r="D497" t="s">
        <v>26</v>
      </c>
      <c r="E497" t="b">
        <f>NOT(OR(ISBLANK(tblEmployee[[#This Row],[EndDate]]),tblEmployee[[#This Row],[EndDate]]-tblEmployee[[#This Row],[StartDate]]&gt;90))</f>
        <v>0</v>
      </c>
    </row>
    <row r="498" spans="1:5" x14ac:dyDescent="0.3">
      <c r="A498">
        <v>3911</v>
      </c>
      <c r="B498" s="1">
        <v>43539</v>
      </c>
      <c r="C498" s="1"/>
      <c r="E498" t="b">
        <f>NOT(OR(ISBLANK(tblEmployee[[#This Row],[EndDate]]),tblEmployee[[#This Row],[EndDate]]-tblEmployee[[#This Row],[StartDate]]&gt;90))</f>
        <v>0</v>
      </c>
    </row>
    <row r="499" spans="1:5" x14ac:dyDescent="0.3">
      <c r="A499">
        <v>3916</v>
      </c>
      <c r="B499" s="1">
        <v>43162</v>
      </c>
      <c r="C499" s="1"/>
      <c r="E499" t="b">
        <f>NOT(OR(ISBLANK(tblEmployee[[#This Row],[EndDate]]),tblEmployee[[#This Row],[EndDate]]-tblEmployee[[#This Row],[StartDate]]&gt;90))</f>
        <v>0</v>
      </c>
    </row>
    <row r="500" spans="1:5" x14ac:dyDescent="0.3">
      <c r="A500">
        <v>3923</v>
      </c>
      <c r="B500" s="1">
        <v>43058</v>
      </c>
      <c r="C500" s="1"/>
      <c r="E500" t="b">
        <f>NOT(OR(ISBLANK(tblEmployee[[#This Row],[EndDate]]),tblEmployee[[#This Row],[EndDate]]-tblEmployee[[#This Row],[StartDate]]&gt;90))</f>
        <v>0</v>
      </c>
    </row>
    <row r="501" spans="1:5" x14ac:dyDescent="0.3">
      <c r="A501">
        <v>3924</v>
      </c>
      <c r="B501" s="1">
        <v>42025</v>
      </c>
      <c r="C501" s="1">
        <v>43609</v>
      </c>
      <c r="D501" t="s">
        <v>56</v>
      </c>
      <c r="E501" t="b">
        <f>NOT(OR(ISBLANK(tblEmployee[[#This Row],[EndDate]]),tblEmployee[[#This Row],[EndDate]]-tblEmployee[[#This Row],[StartDate]]&gt;90))</f>
        <v>0</v>
      </c>
    </row>
    <row r="502" spans="1:5" x14ac:dyDescent="0.3">
      <c r="A502">
        <v>3926</v>
      </c>
      <c r="B502" s="1">
        <v>38191</v>
      </c>
      <c r="C502" s="1"/>
      <c r="E502" t="b">
        <f>NOT(OR(ISBLANK(tblEmployee[[#This Row],[EndDate]]),tblEmployee[[#This Row],[EndDate]]-tblEmployee[[#This Row],[StartDate]]&gt;90))</f>
        <v>0</v>
      </c>
    </row>
    <row r="503" spans="1:5" x14ac:dyDescent="0.3">
      <c r="A503">
        <v>3928</v>
      </c>
      <c r="B503" s="1">
        <v>43695</v>
      </c>
      <c r="C503" s="1">
        <v>43709</v>
      </c>
      <c r="D503" t="s">
        <v>28</v>
      </c>
      <c r="E503" t="b">
        <f>NOT(OR(ISBLANK(tblEmployee[[#This Row],[EndDate]]),tblEmployee[[#This Row],[EndDate]]-tblEmployee[[#This Row],[StartDate]]&gt;90))</f>
        <v>1</v>
      </c>
    </row>
    <row r="504" spans="1:5" x14ac:dyDescent="0.3">
      <c r="A504">
        <v>3935</v>
      </c>
      <c r="B504" s="1">
        <v>43206</v>
      </c>
      <c r="C504" s="1"/>
      <c r="E504" t="b">
        <f>NOT(OR(ISBLANK(tblEmployee[[#This Row],[EndDate]]),tblEmployee[[#This Row],[EndDate]]-tblEmployee[[#This Row],[StartDate]]&gt;90))</f>
        <v>0</v>
      </c>
    </row>
    <row r="505" spans="1:5" x14ac:dyDescent="0.3">
      <c r="A505">
        <v>3938</v>
      </c>
      <c r="B505" s="1">
        <v>40085</v>
      </c>
      <c r="C505" s="1"/>
      <c r="E505" t="b">
        <f>NOT(OR(ISBLANK(tblEmployee[[#This Row],[EndDate]]),tblEmployee[[#This Row],[EndDate]]-tblEmployee[[#This Row],[StartDate]]&gt;90))</f>
        <v>0</v>
      </c>
    </row>
    <row r="506" spans="1:5" x14ac:dyDescent="0.3">
      <c r="A506">
        <v>3941</v>
      </c>
      <c r="B506" s="1">
        <v>40197</v>
      </c>
      <c r="C506" s="1"/>
      <c r="E506" t="b">
        <f>NOT(OR(ISBLANK(tblEmployee[[#This Row],[EndDate]]),tblEmployee[[#This Row],[EndDate]]-tblEmployee[[#This Row],[StartDate]]&gt;90))</f>
        <v>0</v>
      </c>
    </row>
    <row r="507" spans="1:5" x14ac:dyDescent="0.3">
      <c r="A507">
        <v>3942</v>
      </c>
      <c r="B507" s="1">
        <v>41043</v>
      </c>
      <c r="C507" s="1"/>
      <c r="E507" t="b">
        <f>NOT(OR(ISBLANK(tblEmployee[[#This Row],[EndDate]]),tblEmployee[[#This Row],[EndDate]]-tblEmployee[[#This Row],[StartDate]]&gt;90))</f>
        <v>0</v>
      </c>
    </row>
    <row r="508" spans="1:5" x14ac:dyDescent="0.3">
      <c r="A508">
        <v>3948</v>
      </c>
      <c r="B508" s="1">
        <v>43252</v>
      </c>
      <c r="C508" s="1"/>
      <c r="E508" t="b">
        <f>NOT(OR(ISBLANK(tblEmployee[[#This Row],[EndDate]]),tblEmployee[[#This Row],[EndDate]]-tblEmployee[[#This Row],[StartDate]]&gt;90))</f>
        <v>0</v>
      </c>
    </row>
    <row r="509" spans="1:5" x14ac:dyDescent="0.3">
      <c r="A509">
        <v>3949</v>
      </c>
      <c r="B509" s="1">
        <v>43647</v>
      </c>
      <c r="C509" s="1"/>
      <c r="E509" t="b">
        <f>NOT(OR(ISBLANK(tblEmployee[[#This Row],[EndDate]]),tblEmployee[[#This Row],[EndDate]]-tblEmployee[[#This Row],[StartDate]]&gt;90))</f>
        <v>0</v>
      </c>
    </row>
    <row r="510" spans="1:5" x14ac:dyDescent="0.3">
      <c r="A510">
        <v>3951</v>
      </c>
      <c r="B510" s="1">
        <v>40765</v>
      </c>
      <c r="C510" s="1"/>
      <c r="E510" t="b">
        <f>NOT(OR(ISBLANK(tblEmployee[[#This Row],[EndDate]]),tblEmployee[[#This Row],[EndDate]]-tblEmployee[[#This Row],[StartDate]]&gt;90))</f>
        <v>0</v>
      </c>
    </row>
    <row r="511" spans="1:5" x14ac:dyDescent="0.3">
      <c r="A511">
        <v>3955</v>
      </c>
      <c r="B511" s="1">
        <v>37442</v>
      </c>
      <c r="C511" s="1"/>
      <c r="E511" t="b">
        <f>NOT(OR(ISBLANK(tblEmployee[[#This Row],[EndDate]]),tblEmployee[[#This Row],[EndDate]]-tblEmployee[[#This Row],[StartDate]]&gt;90))</f>
        <v>0</v>
      </c>
    </row>
    <row r="512" spans="1:5" x14ac:dyDescent="0.3">
      <c r="A512">
        <v>3961</v>
      </c>
      <c r="B512" s="1">
        <v>41451</v>
      </c>
      <c r="C512" s="1"/>
      <c r="E512" t="b">
        <f>NOT(OR(ISBLANK(tblEmployee[[#This Row],[EndDate]]),tblEmployee[[#This Row],[EndDate]]-tblEmployee[[#This Row],[StartDate]]&gt;90))</f>
        <v>0</v>
      </c>
    </row>
    <row r="513" spans="1:5" x14ac:dyDescent="0.3">
      <c r="A513">
        <v>3964</v>
      </c>
      <c r="B513" s="1">
        <v>40938</v>
      </c>
      <c r="C513" s="1"/>
      <c r="E513" t="b">
        <f>NOT(OR(ISBLANK(tblEmployee[[#This Row],[EndDate]]),tblEmployee[[#This Row],[EndDate]]-tblEmployee[[#This Row],[StartDate]]&gt;90))</f>
        <v>0</v>
      </c>
    </row>
    <row r="514" spans="1:5" x14ac:dyDescent="0.3">
      <c r="A514">
        <v>3966</v>
      </c>
      <c r="B514" s="1">
        <v>41173</v>
      </c>
      <c r="C514" s="1"/>
      <c r="E514" t="b">
        <f>NOT(OR(ISBLANK(tblEmployee[[#This Row],[EndDate]]),tblEmployee[[#This Row],[EndDate]]-tblEmployee[[#This Row],[StartDate]]&gt;90))</f>
        <v>0</v>
      </c>
    </row>
    <row r="515" spans="1:5" x14ac:dyDescent="0.3">
      <c r="A515">
        <v>3967</v>
      </c>
      <c r="B515" s="1">
        <v>37537</v>
      </c>
      <c r="C515" s="1"/>
      <c r="E515" t="b">
        <f>NOT(OR(ISBLANK(tblEmployee[[#This Row],[EndDate]]),tblEmployee[[#This Row],[EndDate]]-tblEmployee[[#This Row],[StartDate]]&gt;90))</f>
        <v>0</v>
      </c>
    </row>
    <row r="516" spans="1:5" x14ac:dyDescent="0.3">
      <c r="A516">
        <v>3969</v>
      </c>
      <c r="B516" s="1">
        <v>41824</v>
      </c>
      <c r="C516" s="1"/>
      <c r="E516" t="b">
        <f>NOT(OR(ISBLANK(tblEmployee[[#This Row],[EndDate]]),tblEmployee[[#This Row],[EndDate]]-tblEmployee[[#This Row],[StartDate]]&gt;90))</f>
        <v>0</v>
      </c>
    </row>
    <row r="517" spans="1:5" x14ac:dyDescent="0.3">
      <c r="A517">
        <v>3970</v>
      </c>
      <c r="B517" s="1">
        <v>38893</v>
      </c>
      <c r="C517" s="1"/>
      <c r="E517" t="b">
        <f>NOT(OR(ISBLANK(tblEmployee[[#This Row],[EndDate]]),tblEmployee[[#This Row],[EndDate]]-tblEmployee[[#This Row],[StartDate]]&gt;90))</f>
        <v>0</v>
      </c>
    </row>
    <row r="518" spans="1:5" x14ac:dyDescent="0.3">
      <c r="A518">
        <v>3972</v>
      </c>
      <c r="B518" s="1">
        <v>43535</v>
      </c>
      <c r="C518" s="1">
        <v>43619</v>
      </c>
      <c r="D518" t="s">
        <v>56</v>
      </c>
      <c r="E518" t="b">
        <f>NOT(OR(ISBLANK(tblEmployee[[#This Row],[EndDate]]),tblEmployee[[#This Row],[EndDate]]-tblEmployee[[#This Row],[StartDate]]&gt;90))</f>
        <v>1</v>
      </c>
    </row>
    <row r="519" spans="1:5" x14ac:dyDescent="0.3">
      <c r="A519">
        <v>3975</v>
      </c>
      <c r="B519" s="1">
        <v>42338</v>
      </c>
      <c r="C519" s="1"/>
      <c r="E519" t="b">
        <f>NOT(OR(ISBLANK(tblEmployee[[#This Row],[EndDate]]),tblEmployee[[#This Row],[EndDate]]-tblEmployee[[#This Row],[StartDate]]&gt;90))</f>
        <v>0</v>
      </c>
    </row>
    <row r="520" spans="1:5" x14ac:dyDescent="0.3">
      <c r="A520">
        <v>3977</v>
      </c>
      <c r="B520" s="1">
        <v>39387</v>
      </c>
      <c r="C520" s="1">
        <v>39874</v>
      </c>
      <c r="D520" t="s">
        <v>28</v>
      </c>
      <c r="E520" t="b">
        <f>NOT(OR(ISBLANK(tblEmployee[[#This Row],[EndDate]]),tblEmployee[[#This Row],[EndDate]]-tblEmployee[[#This Row],[StartDate]]&gt;90))</f>
        <v>0</v>
      </c>
    </row>
    <row r="521" spans="1:5" x14ac:dyDescent="0.3">
      <c r="A521">
        <v>3979</v>
      </c>
      <c r="B521" s="1">
        <v>38678</v>
      </c>
      <c r="C521" s="1"/>
      <c r="E521" t="b">
        <f>NOT(OR(ISBLANK(tblEmployee[[#This Row],[EndDate]]),tblEmployee[[#This Row],[EndDate]]-tblEmployee[[#This Row],[StartDate]]&gt;90))</f>
        <v>0</v>
      </c>
    </row>
    <row r="522" spans="1:5" x14ac:dyDescent="0.3">
      <c r="A522">
        <v>3983</v>
      </c>
      <c r="B522" s="1">
        <v>42973</v>
      </c>
      <c r="C522" s="1"/>
      <c r="E522" t="b">
        <f>NOT(OR(ISBLANK(tblEmployee[[#This Row],[EndDate]]),tblEmployee[[#This Row],[EndDate]]-tblEmployee[[#This Row],[StartDate]]&gt;90))</f>
        <v>0</v>
      </c>
    </row>
    <row r="523" spans="1:5" x14ac:dyDescent="0.3">
      <c r="A523">
        <v>3985</v>
      </c>
      <c r="B523" s="1">
        <v>42531</v>
      </c>
      <c r="C523" s="1">
        <v>42564</v>
      </c>
      <c r="D523" t="s">
        <v>28</v>
      </c>
      <c r="E523" t="b">
        <f>NOT(OR(ISBLANK(tblEmployee[[#This Row],[EndDate]]),tblEmployee[[#This Row],[EndDate]]-tblEmployee[[#This Row],[StartDate]]&gt;90))</f>
        <v>1</v>
      </c>
    </row>
    <row r="524" spans="1:5" x14ac:dyDescent="0.3">
      <c r="A524">
        <v>3991</v>
      </c>
      <c r="B524" s="1">
        <v>43369</v>
      </c>
      <c r="C524" s="1"/>
      <c r="E524" t="b">
        <f>NOT(OR(ISBLANK(tblEmployee[[#This Row],[EndDate]]),tblEmployee[[#This Row],[EndDate]]-tblEmployee[[#This Row],[StartDate]]&gt;90))</f>
        <v>0</v>
      </c>
    </row>
    <row r="525" spans="1:5" x14ac:dyDescent="0.3">
      <c r="A525">
        <v>3994</v>
      </c>
      <c r="B525" s="1">
        <v>39027</v>
      </c>
      <c r="C525" s="1">
        <v>43231</v>
      </c>
      <c r="D525" t="s">
        <v>30</v>
      </c>
      <c r="E525" t="b">
        <f>NOT(OR(ISBLANK(tblEmployee[[#This Row],[EndDate]]),tblEmployee[[#This Row],[EndDate]]-tblEmployee[[#This Row],[StartDate]]&gt;90))</f>
        <v>0</v>
      </c>
    </row>
    <row r="526" spans="1:5" x14ac:dyDescent="0.3">
      <c r="A526">
        <v>4004</v>
      </c>
      <c r="B526" s="1">
        <v>41623</v>
      </c>
      <c r="C526" s="1">
        <v>43604</v>
      </c>
      <c r="D526" t="s">
        <v>31</v>
      </c>
      <c r="E526" t="b">
        <f>NOT(OR(ISBLANK(tblEmployee[[#This Row],[EndDate]]),tblEmployee[[#This Row],[EndDate]]-tblEmployee[[#This Row],[StartDate]]&gt;90))</f>
        <v>0</v>
      </c>
    </row>
    <row r="527" spans="1:5" x14ac:dyDescent="0.3">
      <c r="A527">
        <v>4013</v>
      </c>
      <c r="B527" s="1">
        <v>40844</v>
      </c>
      <c r="C527" s="1">
        <v>40860</v>
      </c>
      <c r="D527" t="s">
        <v>27</v>
      </c>
      <c r="E527" t="b">
        <f>NOT(OR(ISBLANK(tblEmployee[[#This Row],[EndDate]]),tblEmployee[[#This Row],[EndDate]]-tblEmployee[[#This Row],[StartDate]]&gt;90))</f>
        <v>1</v>
      </c>
    </row>
    <row r="528" spans="1:5" x14ac:dyDescent="0.3">
      <c r="A528">
        <v>4024</v>
      </c>
      <c r="B528" s="1">
        <v>39374</v>
      </c>
      <c r="C528" s="1"/>
      <c r="E528" t="b">
        <f>NOT(OR(ISBLANK(tblEmployee[[#This Row],[EndDate]]),tblEmployee[[#This Row],[EndDate]]-tblEmployee[[#This Row],[StartDate]]&gt;90))</f>
        <v>0</v>
      </c>
    </row>
    <row r="529" spans="1:5" x14ac:dyDescent="0.3">
      <c r="A529">
        <v>4036</v>
      </c>
      <c r="B529" s="1">
        <v>43722</v>
      </c>
      <c r="C529" s="1"/>
      <c r="E529" t="b">
        <f>NOT(OR(ISBLANK(tblEmployee[[#This Row],[EndDate]]),tblEmployee[[#This Row],[EndDate]]-tblEmployee[[#This Row],[StartDate]]&gt;90))</f>
        <v>0</v>
      </c>
    </row>
    <row r="530" spans="1:5" x14ac:dyDescent="0.3">
      <c r="A530">
        <v>4051</v>
      </c>
      <c r="B530" s="1">
        <v>41896</v>
      </c>
      <c r="C530" s="1"/>
      <c r="E530" t="b">
        <f>NOT(OR(ISBLANK(tblEmployee[[#This Row],[EndDate]]),tblEmployee[[#This Row],[EndDate]]-tblEmployee[[#This Row],[StartDate]]&gt;90))</f>
        <v>0</v>
      </c>
    </row>
    <row r="531" spans="1:5" x14ac:dyDescent="0.3">
      <c r="A531">
        <v>4054</v>
      </c>
      <c r="B531" s="1">
        <v>42084</v>
      </c>
      <c r="C531" s="1">
        <v>43227</v>
      </c>
      <c r="D531" t="s">
        <v>56</v>
      </c>
      <c r="E531" t="b">
        <f>NOT(OR(ISBLANK(tblEmployee[[#This Row],[EndDate]]),tblEmployee[[#This Row],[EndDate]]-tblEmployee[[#This Row],[StartDate]]&gt;90))</f>
        <v>0</v>
      </c>
    </row>
    <row r="532" spans="1:5" x14ac:dyDescent="0.3">
      <c r="A532">
        <v>4056</v>
      </c>
      <c r="B532" s="1">
        <v>39107</v>
      </c>
      <c r="C532" s="1"/>
      <c r="E532" t="b">
        <f>NOT(OR(ISBLANK(tblEmployee[[#This Row],[EndDate]]),tblEmployee[[#This Row],[EndDate]]-tblEmployee[[#This Row],[StartDate]]&gt;90))</f>
        <v>0</v>
      </c>
    </row>
    <row r="533" spans="1:5" x14ac:dyDescent="0.3">
      <c r="A533">
        <v>4058</v>
      </c>
      <c r="B533" s="1">
        <v>41805</v>
      </c>
      <c r="C533" s="1"/>
      <c r="E533" t="b">
        <f>NOT(OR(ISBLANK(tblEmployee[[#This Row],[EndDate]]),tblEmployee[[#This Row],[EndDate]]-tblEmployee[[#This Row],[StartDate]]&gt;90))</f>
        <v>0</v>
      </c>
    </row>
    <row r="534" spans="1:5" x14ac:dyDescent="0.3">
      <c r="A534">
        <v>4059</v>
      </c>
      <c r="B534" s="1">
        <v>43221</v>
      </c>
      <c r="C534" s="1"/>
      <c r="E534" t="b">
        <f>NOT(OR(ISBLANK(tblEmployee[[#This Row],[EndDate]]),tblEmployee[[#This Row],[EndDate]]-tblEmployee[[#This Row],[StartDate]]&gt;90))</f>
        <v>0</v>
      </c>
    </row>
    <row r="535" spans="1:5" x14ac:dyDescent="0.3">
      <c r="A535">
        <v>4063</v>
      </c>
      <c r="B535" s="1">
        <v>41903</v>
      </c>
      <c r="C535" s="1"/>
      <c r="E535" t="b">
        <f>NOT(OR(ISBLANK(tblEmployee[[#This Row],[EndDate]]),tblEmployee[[#This Row],[EndDate]]-tblEmployee[[#This Row],[StartDate]]&gt;90))</f>
        <v>0</v>
      </c>
    </row>
    <row r="536" spans="1:5" x14ac:dyDescent="0.3">
      <c r="A536">
        <v>4065</v>
      </c>
      <c r="B536" s="1">
        <v>42660</v>
      </c>
      <c r="C536" s="1">
        <v>43575</v>
      </c>
      <c r="D536" t="s">
        <v>31</v>
      </c>
      <c r="E536" t="b">
        <f>NOT(OR(ISBLANK(tblEmployee[[#This Row],[EndDate]]),tblEmployee[[#This Row],[EndDate]]-tblEmployee[[#This Row],[StartDate]]&gt;90))</f>
        <v>0</v>
      </c>
    </row>
    <row r="537" spans="1:5" x14ac:dyDescent="0.3">
      <c r="A537">
        <v>4069</v>
      </c>
      <c r="B537" s="1">
        <v>40707</v>
      </c>
      <c r="C537" s="1"/>
      <c r="E537" t="b">
        <f>NOT(OR(ISBLANK(tblEmployee[[#This Row],[EndDate]]),tblEmployee[[#This Row],[EndDate]]-tblEmployee[[#This Row],[StartDate]]&gt;90))</f>
        <v>0</v>
      </c>
    </row>
    <row r="538" spans="1:5" x14ac:dyDescent="0.3">
      <c r="A538">
        <v>4087</v>
      </c>
      <c r="B538" s="1">
        <v>40097</v>
      </c>
      <c r="C538" s="1"/>
      <c r="E538" t="b">
        <f>NOT(OR(ISBLANK(tblEmployee[[#This Row],[EndDate]]),tblEmployee[[#This Row],[EndDate]]-tblEmployee[[#This Row],[StartDate]]&gt;90))</f>
        <v>0</v>
      </c>
    </row>
    <row r="539" spans="1:5" x14ac:dyDescent="0.3">
      <c r="A539">
        <v>4093</v>
      </c>
      <c r="B539" s="1">
        <v>40805</v>
      </c>
      <c r="C539" s="1"/>
      <c r="E539" t="b">
        <f>NOT(OR(ISBLANK(tblEmployee[[#This Row],[EndDate]]),tblEmployee[[#This Row],[EndDate]]-tblEmployee[[#This Row],[StartDate]]&gt;90))</f>
        <v>0</v>
      </c>
    </row>
    <row r="540" spans="1:5" x14ac:dyDescent="0.3">
      <c r="A540">
        <v>4097</v>
      </c>
      <c r="B540" s="1">
        <v>41439</v>
      </c>
      <c r="C540" s="1"/>
      <c r="E540" t="b">
        <f>NOT(OR(ISBLANK(tblEmployee[[#This Row],[EndDate]]),tblEmployee[[#This Row],[EndDate]]-tblEmployee[[#This Row],[StartDate]]&gt;90))</f>
        <v>0</v>
      </c>
    </row>
    <row r="541" spans="1:5" x14ac:dyDescent="0.3">
      <c r="A541">
        <v>4108</v>
      </c>
      <c r="B541" s="1">
        <v>44465</v>
      </c>
      <c r="C541" s="1">
        <v>44486</v>
      </c>
      <c r="D541" t="s">
        <v>25</v>
      </c>
      <c r="E541" t="b">
        <f>NOT(OR(ISBLANK(tblEmployee[[#This Row],[EndDate]]),tblEmployee[[#This Row],[EndDate]]-tblEmployee[[#This Row],[StartDate]]&gt;90))</f>
        <v>1</v>
      </c>
    </row>
    <row r="542" spans="1:5" x14ac:dyDescent="0.3">
      <c r="A542">
        <v>4109</v>
      </c>
      <c r="B542" s="1">
        <v>38477</v>
      </c>
      <c r="C542" s="1"/>
      <c r="E542" t="b">
        <f>NOT(OR(ISBLANK(tblEmployee[[#This Row],[EndDate]]),tblEmployee[[#This Row],[EndDate]]-tblEmployee[[#This Row],[StartDate]]&gt;90))</f>
        <v>0</v>
      </c>
    </row>
    <row r="543" spans="1:5" x14ac:dyDescent="0.3">
      <c r="A543">
        <v>4119</v>
      </c>
      <c r="B543" s="1">
        <v>42804</v>
      </c>
      <c r="C543" s="1"/>
      <c r="E543" t="b">
        <f>NOT(OR(ISBLANK(tblEmployee[[#This Row],[EndDate]]),tblEmployee[[#This Row],[EndDate]]-tblEmployee[[#This Row],[StartDate]]&gt;90))</f>
        <v>0</v>
      </c>
    </row>
    <row r="544" spans="1:5" x14ac:dyDescent="0.3">
      <c r="A544">
        <v>4121</v>
      </c>
      <c r="B544" s="1">
        <v>42218</v>
      </c>
      <c r="C544" s="1"/>
      <c r="E544" t="b">
        <f>NOT(OR(ISBLANK(tblEmployee[[#This Row],[EndDate]]),tblEmployee[[#This Row],[EndDate]]-tblEmployee[[#This Row],[StartDate]]&gt;90))</f>
        <v>0</v>
      </c>
    </row>
    <row r="545" spans="1:5" x14ac:dyDescent="0.3">
      <c r="A545">
        <v>4122</v>
      </c>
      <c r="B545" s="1">
        <v>39415</v>
      </c>
      <c r="C545" s="1"/>
      <c r="E545" t="b">
        <f>NOT(OR(ISBLANK(tblEmployee[[#This Row],[EndDate]]),tblEmployee[[#This Row],[EndDate]]-tblEmployee[[#This Row],[StartDate]]&gt;90))</f>
        <v>0</v>
      </c>
    </row>
    <row r="546" spans="1:5" x14ac:dyDescent="0.3">
      <c r="A546">
        <v>4123</v>
      </c>
      <c r="B546" s="1">
        <v>40731</v>
      </c>
      <c r="C546" s="1"/>
      <c r="E546" t="b">
        <f>NOT(OR(ISBLANK(tblEmployee[[#This Row],[EndDate]]),tblEmployee[[#This Row],[EndDate]]-tblEmployee[[#This Row],[StartDate]]&gt;90))</f>
        <v>0</v>
      </c>
    </row>
    <row r="547" spans="1:5" x14ac:dyDescent="0.3">
      <c r="A547">
        <v>4125</v>
      </c>
      <c r="B547" s="1">
        <v>38703</v>
      </c>
      <c r="C547" s="1">
        <v>39500</v>
      </c>
      <c r="D547" t="s">
        <v>56</v>
      </c>
      <c r="E547" t="b">
        <f>NOT(OR(ISBLANK(tblEmployee[[#This Row],[EndDate]]),tblEmployee[[#This Row],[EndDate]]-tblEmployee[[#This Row],[StartDate]]&gt;90))</f>
        <v>0</v>
      </c>
    </row>
    <row r="548" spans="1:5" x14ac:dyDescent="0.3">
      <c r="A548">
        <v>4126</v>
      </c>
      <c r="B548" s="1">
        <v>38686</v>
      </c>
      <c r="C548" s="1"/>
      <c r="E548" t="b">
        <f>NOT(OR(ISBLANK(tblEmployee[[#This Row],[EndDate]]),tblEmployee[[#This Row],[EndDate]]-tblEmployee[[#This Row],[StartDate]]&gt;90))</f>
        <v>0</v>
      </c>
    </row>
    <row r="549" spans="1:5" x14ac:dyDescent="0.3">
      <c r="A549">
        <v>4129</v>
      </c>
      <c r="B549" s="1">
        <v>38386</v>
      </c>
      <c r="C549" s="1">
        <v>43047</v>
      </c>
      <c r="D549" t="s">
        <v>25</v>
      </c>
      <c r="E549" t="b">
        <f>NOT(OR(ISBLANK(tblEmployee[[#This Row],[EndDate]]),tblEmployee[[#This Row],[EndDate]]-tblEmployee[[#This Row],[StartDate]]&gt;90))</f>
        <v>0</v>
      </c>
    </row>
    <row r="550" spans="1:5" x14ac:dyDescent="0.3">
      <c r="A550">
        <v>4130</v>
      </c>
      <c r="B550" s="1">
        <v>38044</v>
      </c>
      <c r="C550" s="1"/>
      <c r="E550" t="b">
        <f>NOT(OR(ISBLANK(tblEmployee[[#This Row],[EndDate]]),tblEmployee[[#This Row],[EndDate]]-tblEmployee[[#This Row],[StartDate]]&gt;90))</f>
        <v>0</v>
      </c>
    </row>
    <row r="551" spans="1:5" x14ac:dyDescent="0.3">
      <c r="A551">
        <v>4131</v>
      </c>
      <c r="B551" s="1">
        <v>38872</v>
      </c>
      <c r="C551" s="1"/>
      <c r="E551" t="b">
        <f>NOT(OR(ISBLANK(tblEmployee[[#This Row],[EndDate]]),tblEmployee[[#This Row],[EndDate]]-tblEmployee[[#This Row],[StartDate]]&gt;90))</f>
        <v>0</v>
      </c>
    </row>
    <row r="552" spans="1:5" x14ac:dyDescent="0.3">
      <c r="A552">
        <v>4139</v>
      </c>
      <c r="B552" s="1">
        <v>41511</v>
      </c>
      <c r="C552" s="1"/>
      <c r="E552" t="b">
        <f>NOT(OR(ISBLANK(tblEmployee[[#This Row],[EndDate]]),tblEmployee[[#This Row],[EndDate]]-tblEmployee[[#This Row],[StartDate]]&gt;90))</f>
        <v>0</v>
      </c>
    </row>
    <row r="553" spans="1:5" x14ac:dyDescent="0.3">
      <c r="A553">
        <v>4154</v>
      </c>
      <c r="B553" s="1">
        <v>38268</v>
      </c>
      <c r="C553" s="1"/>
      <c r="E553" t="b">
        <f>NOT(OR(ISBLANK(tblEmployee[[#This Row],[EndDate]]),tblEmployee[[#This Row],[EndDate]]-tblEmployee[[#This Row],[StartDate]]&gt;90))</f>
        <v>0</v>
      </c>
    </row>
    <row r="554" spans="1:5" x14ac:dyDescent="0.3">
      <c r="A554">
        <v>4171</v>
      </c>
      <c r="B554" s="1">
        <v>39440</v>
      </c>
      <c r="C554" s="1"/>
      <c r="E554" t="b">
        <f>NOT(OR(ISBLANK(tblEmployee[[#This Row],[EndDate]]),tblEmployee[[#This Row],[EndDate]]-tblEmployee[[#This Row],[StartDate]]&gt;90))</f>
        <v>0</v>
      </c>
    </row>
    <row r="555" spans="1:5" x14ac:dyDescent="0.3">
      <c r="A555">
        <v>4181</v>
      </c>
      <c r="B555" s="1">
        <v>42748</v>
      </c>
      <c r="C555" s="1">
        <v>43036</v>
      </c>
      <c r="D555" t="s">
        <v>56</v>
      </c>
      <c r="E555" t="b">
        <f>NOT(OR(ISBLANK(tblEmployee[[#This Row],[EndDate]]),tblEmployee[[#This Row],[EndDate]]-tblEmployee[[#This Row],[StartDate]]&gt;90))</f>
        <v>0</v>
      </c>
    </row>
    <row r="556" spans="1:5" x14ac:dyDescent="0.3">
      <c r="A556">
        <v>4185</v>
      </c>
      <c r="B556" s="1">
        <v>39429</v>
      </c>
      <c r="C556" s="1">
        <v>40570</v>
      </c>
      <c r="D556" t="s">
        <v>56</v>
      </c>
      <c r="E556" t="b">
        <f>NOT(OR(ISBLANK(tblEmployee[[#This Row],[EndDate]]),tblEmployee[[#This Row],[EndDate]]-tblEmployee[[#This Row],[StartDate]]&gt;90))</f>
        <v>0</v>
      </c>
    </row>
    <row r="557" spans="1:5" x14ac:dyDescent="0.3">
      <c r="A557">
        <v>4200</v>
      </c>
      <c r="B557" s="1">
        <v>38446</v>
      </c>
      <c r="C557" s="1">
        <v>43449</v>
      </c>
      <c r="D557" t="s">
        <v>25</v>
      </c>
      <c r="E557" t="b">
        <f>NOT(OR(ISBLANK(tblEmployee[[#This Row],[EndDate]]),tblEmployee[[#This Row],[EndDate]]-tblEmployee[[#This Row],[StartDate]]&gt;90))</f>
        <v>0</v>
      </c>
    </row>
    <row r="558" spans="1:5" x14ac:dyDescent="0.3">
      <c r="A558">
        <v>4204</v>
      </c>
      <c r="B558" s="1">
        <v>38240</v>
      </c>
      <c r="C558" s="1">
        <v>39984</v>
      </c>
      <c r="D558" t="s">
        <v>56</v>
      </c>
      <c r="E558" t="b">
        <f>NOT(OR(ISBLANK(tblEmployee[[#This Row],[EndDate]]),tblEmployee[[#This Row],[EndDate]]-tblEmployee[[#This Row],[StartDate]]&gt;90))</f>
        <v>0</v>
      </c>
    </row>
    <row r="559" spans="1:5" x14ac:dyDescent="0.3">
      <c r="A559">
        <v>4206</v>
      </c>
      <c r="B559" s="1">
        <v>44026</v>
      </c>
      <c r="C559" s="1"/>
      <c r="E559" t="b">
        <f>NOT(OR(ISBLANK(tblEmployee[[#This Row],[EndDate]]),tblEmployee[[#This Row],[EndDate]]-tblEmployee[[#This Row],[StartDate]]&gt;90))</f>
        <v>0</v>
      </c>
    </row>
    <row r="560" spans="1:5" x14ac:dyDescent="0.3">
      <c r="A560">
        <v>4209</v>
      </c>
      <c r="B560" s="1">
        <v>42819</v>
      </c>
      <c r="C560" s="1"/>
      <c r="E560" t="b">
        <f>NOT(OR(ISBLANK(tblEmployee[[#This Row],[EndDate]]),tblEmployee[[#This Row],[EndDate]]-tblEmployee[[#This Row],[StartDate]]&gt;90))</f>
        <v>0</v>
      </c>
    </row>
    <row r="561" spans="1:5" x14ac:dyDescent="0.3">
      <c r="A561">
        <v>4213</v>
      </c>
      <c r="B561" s="1">
        <v>42113</v>
      </c>
      <c r="C561" s="1"/>
      <c r="E561" t="b">
        <f>NOT(OR(ISBLANK(tblEmployee[[#This Row],[EndDate]]),tblEmployee[[#This Row],[EndDate]]-tblEmployee[[#This Row],[StartDate]]&gt;90))</f>
        <v>0</v>
      </c>
    </row>
    <row r="562" spans="1:5" x14ac:dyDescent="0.3">
      <c r="A562">
        <v>4216</v>
      </c>
      <c r="B562" s="1">
        <v>41159</v>
      </c>
      <c r="C562" s="1"/>
      <c r="E562" t="b">
        <f>NOT(OR(ISBLANK(tblEmployee[[#This Row],[EndDate]]),tblEmployee[[#This Row],[EndDate]]-tblEmployee[[#This Row],[StartDate]]&gt;90))</f>
        <v>0</v>
      </c>
    </row>
    <row r="563" spans="1:5" x14ac:dyDescent="0.3">
      <c r="A563">
        <v>4222</v>
      </c>
      <c r="B563" s="1">
        <v>42640</v>
      </c>
      <c r="C563" s="1"/>
      <c r="E563" t="b">
        <f>NOT(OR(ISBLANK(tblEmployee[[#This Row],[EndDate]]),tblEmployee[[#This Row],[EndDate]]-tblEmployee[[#This Row],[StartDate]]&gt;90))</f>
        <v>0</v>
      </c>
    </row>
    <row r="564" spans="1:5" x14ac:dyDescent="0.3">
      <c r="A564">
        <v>4240</v>
      </c>
      <c r="B564" s="1">
        <v>42642</v>
      </c>
      <c r="C564" s="1"/>
      <c r="E564" t="b">
        <f>NOT(OR(ISBLANK(tblEmployee[[#This Row],[EndDate]]),tblEmployee[[#This Row],[EndDate]]-tblEmployee[[#This Row],[StartDate]]&gt;90))</f>
        <v>0</v>
      </c>
    </row>
    <row r="565" spans="1:5" x14ac:dyDescent="0.3">
      <c r="A565">
        <v>4264</v>
      </c>
      <c r="B565" s="1">
        <v>42944</v>
      </c>
      <c r="C565" s="1">
        <v>43066</v>
      </c>
      <c r="D565" t="s">
        <v>26</v>
      </c>
      <c r="E565" t="b">
        <f>NOT(OR(ISBLANK(tblEmployee[[#This Row],[EndDate]]),tblEmployee[[#This Row],[EndDate]]-tblEmployee[[#This Row],[StartDate]]&gt;90))</f>
        <v>0</v>
      </c>
    </row>
    <row r="566" spans="1:5" x14ac:dyDescent="0.3">
      <c r="A566">
        <v>4268</v>
      </c>
      <c r="B566" s="1">
        <v>37589</v>
      </c>
      <c r="C566" s="1"/>
      <c r="E566" t="b">
        <f>NOT(OR(ISBLANK(tblEmployee[[#This Row],[EndDate]]),tblEmployee[[#This Row],[EndDate]]-tblEmployee[[#This Row],[StartDate]]&gt;90))</f>
        <v>0</v>
      </c>
    </row>
    <row r="567" spans="1:5" x14ac:dyDescent="0.3">
      <c r="A567">
        <v>4271</v>
      </c>
      <c r="B567" s="1">
        <v>40249</v>
      </c>
      <c r="C567" s="1"/>
      <c r="E567" t="b">
        <f>NOT(OR(ISBLANK(tblEmployee[[#This Row],[EndDate]]),tblEmployee[[#This Row],[EndDate]]-tblEmployee[[#This Row],[StartDate]]&gt;90))</f>
        <v>0</v>
      </c>
    </row>
    <row r="568" spans="1:5" x14ac:dyDescent="0.3">
      <c r="A568">
        <v>4280</v>
      </c>
      <c r="B568" s="1">
        <v>44384</v>
      </c>
      <c r="C568" s="1">
        <v>44414</v>
      </c>
      <c r="D568" t="s">
        <v>56</v>
      </c>
      <c r="E568" t="b">
        <f>NOT(OR(ISBLANK(tblEmployee[[#This Row],[EndDate]]),tblEmployee[[#This Row],[EndDate]]-tblEmployee[[#This Row],[StartDate]]&gt;90))</f>
        <v>1</v>
      </c>
    </row>
    <row r="569" spans="1:5" x14ac:dyDescent="0.3">
      <c r="A569">
        <v>4282</v>
      </c>
      <c r="B569" s="1">
        <v>44356</v>
      </c>
      <c r="C569" s="1">
        <v>44402</v>
      </c>
      <c r="D569" t="s">
        <v>56</v>
      </c>
      <c r="E569" t="b">
        <f>NOT(OR(ISBLANK(tblEmployee[[#This Row],[EndDate]]),tblEmployee[[#This Row],[EndDate]]-tblEmployee[[#This Row],[StartDate]]&gt;90))</f>
        <v>1</v>
      </c>
    </row>
    <row r="570" spans="1:5" x14ac:dyDescent="0.3">
      <c r="A570">
        <v>4283</v>
      </c>
      <c r="B570" s="1">
        <v>42804</v>
      </c>
      <c r="C570" s="1"/>
      <c r="E570" t="b">
        <f>NOT(OR(ISBLANK(tblEmployee[[#This Row],[EndDate]]),tblEmployee[[#This Row],[EndDate]]-tblEmployee[[#This Row],[StartDate]]&gt;90))</f>
        <v>0</v>
      </c>
    </row>
    <row r="571" spans="1:5" x14ac:dyDescent="0.3">
      <c r="A571">
        <v>4284</v>
      </c>
      <c r="B571" s="1">
        <v>42082</v>
      </c>
      <c r="C571" s="1"/>
      <c r="E571" t="b">
        <f>NOT(OR(ISBLANK(tblEmployee[[#This Row],[EndDate]]),tblEmployee[[#This Row],[EndDate]]-tblEmployee[[#This Row],[StartDate]]&gt;90))</f>
        <v>0</v>
      </c>
    </row>
    <row r="572" spans="1:5" x14ac:dyDescent="0.3">
      <c r="A572">
        <v>4286</v>
      </c>
      <c r="B572" s="1">
        <v>40500</v>
      </c>
      <c r="C572" s="1"/>
      <c r="E572" t="b">
        <f>NOT(OR(ISBLANK(tblEmployee[[#This Row],[EndDate]]),tblEmployee[[#This Row],[EndDate]]-tblEmployee[[#This Row],[StartDate]]&gt;90))</f>
        <v>0</v>
      </c>
    </row>
    <row r="573" spans="1:5" x14ac:dyDescent="0.3">
      <c r="A573">
        <v>4287</v>
      </c>
      <c r="B573" s="1">
        <v>42715</v>
      </c>
      <c r="C573" s="1"/>
      <c r="E573" t="b">
        <f>NOT(OR(ISBLANK(tblEmployee[[#This Row],[EndDate]]),tblEmployee[[#This Row],[EndDate]]-tblEmployee[[#This Row],[StartDate]]&gt;90))</f>
        <v>0</v>
      </c>
    </row>
    <row r="574" spans="1:5" x14ac:dyDescent="0.3">
      <c r="A574">
        <v>4288</v>
      </c>
      <c r="B574" s="1">
        <v>43329</v>
      </c>
      <c r="C574" s="1"/>
      <c r="E574" t="b">
        <f>NOT(OR(ISBLANK(tblEmployee[[#This Row],[EndDate]]),tblEmployee[[#This Row],[EndDate]]-tblEmployee[[#This Row],[StartDate]]&gt;90))</f>
        <v>0</v>
      </c>
    </row>
    <row r="575" spans="1:5" x14ac:dyDescent="0.3">
      <c r="A575">
        <v>4293</v>
      </c>
      <c r="B575" s="1">
        <v>41091</v>
      </c>
      <c r="C575" s="1"/>
      <c r="E575" t="b">
        <f>NOT(OR(ISBLANK(tblEmployee[[#This Row],[EndDate]]),tblEmployee[[#This Row],[EndDate]]-tblEmployee[[#This Row],[StartDate]]&gt;90))</f>
        <v>0</v>
      </c>
    </row>
    <row r="576" spans="1:5" x14ac:dyDescent="0.3">
      <c r="A576">
        <v>4305</v>
      </c>
      <c r="B576" s="1">
        <v>43438</v>
      </c>
      <c r="C576" s="1"/>
      <c r="E576" t="b">
        <f>NOT(OR(ISBLANK(tblEmployee[[#This Row],[EndDate]]),tblEmployee[[#This Row],[EndDate]]-tblEmployee[[#This Row],[StartDate]]&gt;90))</f>
        <v>0</v>
      </c>
    </row>
    <row r="577" spans="1:5" x14ac:dyDescent="0.3">
      <c r="A577">
        <v>4312</v>
      </c>
      <c r="B577" s="1">
        <v>39294</v>
      </c>
      <c r="C577" s="1"/>
      <c r="E577" t="b">
        <f>NOT(OR(ISBLANK(tblEmployee[[#This Row],[EndDate]]),tblEmployee[[#This Row],[EndDate]]-tblEmployee[[#This Row],[StartDate]]&gt;90))</f>
        <v>0</v>
      </c>
    </row>
    <row r="578" spans="1:5" x14ac:dyDescent="0.3">
      <c r="A578">
        <v>4323</v>
      </c>
      <c r="B578" s="1">
        <v>42143</v>
      </c>
      <c r="C578" s="1"/>
      <c r="E578" t="b">
        <f>NOT(OR(ISBLANK(tblEmployee[[#This Row],[EndDate]]),tblEmployee[[#This Row],[EndDate]]-tblEmployee[[#This Row],[StartDate]]&gt;90))</f>
        <v>0</v>
      </c>
    </row>
    <row r="579" spans="1:5" x14ac:dyDescent="0.3">
      <c r="A579">
        <v>4326</v>
      </c>
      <c r="B579" s="1">
        <v>40412</v>
      </c>
      <c r="C579" s="1"/>
      <c r="E579" t="b">
        <f>NOT(OR(ISBLANK(tblEmployee[[#This Row],[EndDate]]),tblEmployee[[#This Row],[EndDate]]-tblEmployee[[#This Row],[StartDate]]&gt;90))</f>
        <v>0</v>
      </c>
    </row>
    <row r="580" spans="1:5" x14ac:dyDescent="0.3">
      <c r="A580">
        <v>4329</v>
      </c>
      <c r="B580" s="1">
        <v>37922</v>
      </c>
      <c r="C580" s="1"/>
      <c r="E580" t="b">
        <f>NOT(OR(ISBLANK(tblEmployee[[#This Row],[EndDate]]),tblEmployee[[#This Row],[EndDate]]-tblEmployee[[#This Row],[StartDate]]&gt;90))</f>
        <v>0</v>
      </c>
    </row>
    <row r="581" spans="1:5" x14ac:dyDescent="0.3">
      <c r="A581">
        <v>4334</v>
      </c>
      <c r="B581" s="1">
        <v>40557</v>
      </c>
      <c r="C581" s="1"/>
      <c r="E581" t="b">
        <f>NOT(OR(ISBLANK(tblEmployee[[#This Row],[EndDate]]),tblEmployee[[#This Row],[EndDate]]-tblEmployee[[#This Row],[StartDate]]&gt;90))</f>
        <v>0</v>
      </c>
    </row>
    <row r="582" spans="1:5" x14ac:dyDescent="0.3">
      <c r="A582">
        <v>4337</v>
      </c>
      <c r="B582" s="1">
        <v>40272</v>
      </c>
      <c r="C582" s="1"/>
      <c r="E582" t="b">
        <f>NOT(OR(ISBLANK(tblEmployee[[#This Row],[EndDate]]),tblEmployee[[#This Row],[EndDate]]-tblEmployee[[#This Row],[StartDate]]&gt;90))</f>
        <v>0</v>
      </c>
    </row>
    <row r="583" spans="1:5" x14ac:dyDescent="0.3">
      <c r="A583">
        <v>4340</v>
      </c>
      <c r="B583" s="1">
        <v>39974</v>
      </c>
      <c r="C583" s="1"/>
      <c r="E583" t="b">
        <f>NOT(OR(ISBLANK(tblEmployee[[#This Row],[EndDate]]),tblEmployee[[#This Row],[EndDate]]-tblEmployee[[#This Row],[StartDate]]&gt;90))</f>
        <v>0</v>
      </c>
    </row>
    <row r="584" spans="1:5" x14ac:dyDescent="0.3">
      <c r="A584">
        <v>4346</v>
      </c>
      <c r="B584" s="1">
        <v>42345</v>
      </c>
      <c r="C584" s="1"/>
      <c r="E584" t="b">
        <f>NOT(OR(ISBLANK(tblEmployee[[#This Row],[EndDate]]),tblEmployee[[#This Row],[EndDate]]-tblEmployee[[#This Row],[StartDate]]&gt;90))</f>
        <v>0</v>
      </c>
    </row>
    <row r="585" spans="1:5" x14ac:dyDescent="0.3">
      <c r="A585">
        <v>4355</v>
      </c>
      <c r="B585" s="1">
        <v>44092</v>
      </c>
      <c r="C585" s="1">
        <v>44340</v>
      </c>
      <c r="D585" t="s">
        <v>28</v>
      </c>
      <c r="E585" t="b">
        <f>NOT(OR(ISBLANK(tblEmployee[[#This Row],[EndDate]]),tblEmployee[[#This Row],[EndDate]]-tblEmployee[[#This Row],[StartDate]]&gt;90))</f>
        <v>0</v>
      </c>
    </row>
    <row r="586" spans="1:5" x14ac:dyDescent="0.3">
      <c r="A586">
        <v>4363</v>
      </c>
      <c r="B586" s="1">
        <v>42766</v>
      </c>
      <c r="C586" s="1"/>
      <c r="E586" t="b">
        <f>NOT(OR(ISBLANK(tblEmployee[[#This Row],[EndDate]]),tblEmployee[[#This Row],[EndDate]]-tblEmployee[[#This Row],[StartDate]]&gt;90))</f>
        <v>0</v>
      </c>
    </row>
    <row r="587" spans="1:5" x14ac:dyDescent="0.3">
      <c r="A587">
        <v>4369</v>
      </c>
      <c r="B587" s="1">
        <v>40357</v>
      </c>
      <c r="C587" s="1"/>
      <c r="E587" t="b">
        <f>NOT(OR(ISBLANK(tblEmployee[[#This Row],[EndDate]]),tblEmployee[[#This Row],[EndDate]]-tblEmployee[[#This Row],[StartDate]]&gt;90))</f>
        <v>0</v>
      </c>
    </row>
    <row r="588" spans="1:5" x14ac:dyDescent="0.3">
      <c r="A588">
        <v>4374</v>
      </c>
      <c r="B588" s="1">
        <v>40205</v>
      </c>
      <c r="C588" s="1">
        <v>43450</v>
      </c>
      <c r="D588" t="s">
        <v>27</v>
      </c>
      <c r="E588" t="b">
        <f>NOT(OR(ISBLANK(tblEmployee[[#This Row],[EndDate]]),tblEmployee[[#This Row],[EndDate]]-tblEmployee[[#This Row],[StartDate]]&gt;90))</f>
        <v>0</v>
      </c>
    </row>
    <row r="589" spans="1:5" x14ac:dyDescent="0.3">
      <c r="A589">
        <v>4378</v>
      </c>
      <c r="B589" s="1">
        <v>41494</v>
      </c>
      <c r="C589" s="1"/>
      <c r="E589" t="b">
        <f>NOT(OR(ISBLANK(tblEmployee[[#This Row],[EndDate]]),tblEmployee[[#This Row],[EndDate]]-tblEmployee[[#This Row],[StartDate]]&gt;90))</f>
        <v>0</v>
      </c>
    </row>
    <row r="590" spans="1:5" x14ac:dyDescent="0.3">
      <c r="A590">
        <v>4381</v>
      </c>
      <c r="B590" s="1">
        <v>43378</v>
      </c>
      <c r="C590" s="1"/>
      <c r="E590" t="b">
        <f>NOT(OR(ISBLANK(tblEmployee[[#This Row],[EndDate]]),tblEmployee[[#This Row],[EndDate]]-tblEmployee[[#This Row],[StartDate]]&gt;90))</f>
        <v>0</v>
      </c>
    </row>
    <row r="591" spans="1:5" x14ac:dyDescent="0.3">
      <c r="A591">
        <v>4382</v>
      </c>
      <c r="B591" s="1">
        <v>43930</v>
      </c>
      <c r="C591" s="1"/>
      <c r="E591" t="b">
        <f>NOT(OR(ISBLANK(tblEmployee[[#This Row],[EndDate]]),tblEmployee[[#This Row],[EndDate]]-tblEmployee[[#This Row],[StartDate]]&gt;90))</f>
        <v>0</v>
      </c>
    </row>
    <row r="592" spans="1:5" x14ac:dyDescent="0.3">
      <c r="A592">
        <v>4385</v>
      </c>
      <c r="B592" s="1">
        <v>43053</v>
      </c>
      <c r="C592" s="1"/>
      <c r="E592" t="b">
        <f>NOT(OR(ISBLANK(tblEmployee[[#This Row],[EndDate]]),tblEmployee[[#This Row],[EndDate]]-tblEmployee[[#This Row],[StartDate]]&gt;90))</f>
        <v>0</v>
      </c>
    </row>
    <row r="593" spans="1:5" x14ac:dyDescent="0.3">
      <c r="A593">
        <v>4389</v>
      </c>
      <c r="B593" s="1">
        <v>44142</v>
      </c>
      <c r="C593" s="1"/>
      <c r="E593" t="b">
        <f>NOT(OR(ISBLANK(tblEmployee[[#This Row],[EndDate]]),tblEmployee[[#This Row],[EndDate]]-tblEmployee[[#This Row],[StartDate]]&gt;90))</f>
        <v>0</v>
      </c>
    </row>
    <row r="594" spans="1:5" x14ac:dyDescent="0.3">
      <c r="A594">
        <v>4396</v>
      </c>
      <c r="B594" s="1">
        <v>42382</v>
      </c>
      <c r="C594" s="1"/>
      <c r="E594" t="b">
        <f>NOT(OR(ISBLANK(tblEmployee[[#This Row],[EndDate]]),tblEmployee[[#This Row],[EndDate]]-tblEmployee[[#This Row],[StartDate]]&gt;90))</f>
        <v>0</v>
      </c>
    </row>
    <row r="595" spans="1:5" x14ac:dyDescent="0.3">
      <c r="A595">
        <v>4399</v>
      </c>
      <c r="B595" s="1">
        <v>38144</v>
      </c>
      <c r="C595" s="1">
        <v>42339</v>
      </c>
      <c r="D595" t="s">
        <v>25</v>
      </c>
      <c r="E595" t="b">
        <f>NOT(OR(ISBLANK(tblEmployee[[#This Row],[EndDate]]),tblEmployee[[#This Row],[EndDate]]-tblEmployee[[#This Row],[StartDate]]&gt;90))</f>
        <v>0</v>
      </c>
    </row>
    <row r="596" spans="1:5" x14ac:dyDescent="0.3">
      <c r="A596">
        <v>4407</v>
      </c>
      <c r="B596" s="1">
        <v>41715</v>
      </c>
      <c r="C596" s="1"/>
      <c r="E596" t="b">
        <f>NOT(OR(ISBLANK(tblEmployee[[#This Row],[EndDate]]),tblEmployee[[#This Row],[EndDate]]-tblEmployee[[#This Row],[StartDate]]&gt;90))</f>
        <v>0</v>
      </c>
    </row>
    <row r="597" spans="1:5" x14ac:dyDescent="0.3">
      <c r="A597">
        <v>4410</v>
      </c>
      <c r="B597" s="1">
        <v>39429</v>
      </c>
      <c r="C597" s="1"/>
      <c r="E597" t="b">
        <f>NOT(OR(ISBLANK(tblEmployee[[#This Row],[EndDate]]),tblEmployee[[#This Row],[EndDate]]-tblEmployee[[#This Row],[StartDate]]&gt;90))</f>
        <v>0</v>
      </c>
    </row>
    <row r="598" spans="1:5" x14ac:dyDescent="0.3">
      <c r="A598">
        <v>4416</v>
      </c>
      <c r="B598" s="1">
        <v>42913</v>
      </c>
      <c r="C598" s="1"/>
      <c r="E598" t="b">
        <f>NOT(OR(ISBLANK(tblEmployee[[#This Row],[EndDate]]),tblEmployee[[#This Row],[EndDate]]-tblEmployee[[#This Row],[StartDate]]&gt;90))</f>
        <v>0</v>
      </c>
    </row>
    <row r="599" spans="1:5" x14ac:dyDescent="0.3">
      <c r="A599">
        <v>4417</v>
      </c>
      <c r="B599" s="1">
        <v>41655</v>
      </c>
      <c r="C599" s="1"/>
      <c r="E599" t="b">
        <f>NOT(OR(ISBLANK(tblEmployee[[#This Row],[EndDate]]),tblEmployee[[#This Row],[EndDate]]-tblEmployee[[#This Row],[StartDate]]&gt;90))</f>
        <v>0</v>
      </c>
    </row>
    <row r="600" spans="1:5" x14ac:dyDescent="0.3">
      <c r="A600">
        <v>4425</v>
      </c>
      <c r="B600" s="1">
        <v>43239</v>
      </c>
      <c r="C600" s="1"/>
      <c r="E600" t="b">
        <f>NOT(OR(ISBLANK(tblEmployee[[#This Row],[EndDate]]),tblEmployee[[#This Row],[EndDate]]-tblEmployee[[#This Row],[StartDate]]&gt;90))</f>
        <v>0</v>
      </c>
    </row>
    <row r="601" spans="1:5" x14ac:dyDescent="0.3">
      <c r="A601">
        <v>4427</v>
      </c>
      <c r="B601" s="1">
        <v>39887</v>
      </c>
      <c r="C601" s="1"/>
      <c r="E601" t="b">
        <f>NOT(OR(ISBLANK(tblEmployee[[#This Row],[EndDate]]),tblEmployee[[#This Row],[EndDate]]-tblEmployee[[#This Row],[StartDate]]&gt;90))</f>
        <v>0</v>
      </c>
    </row>
    <row r="602" spans="1:5" x14ac:dyDescent="0.3">
      <c r="A602">
        <v>4432</v>
      </c>
      <c r="B602" s="1">
        <v>41896</v>
      </c>
      <c r="C602" s="1"/>
      <c r="E602" t="b">
        <f>NOT(OR(ISBLANK(tblEmployee[[#This Row],[EndDate]]),tblEmployee[[#This Row],[EndDate]]-tblEmployee[[#This Row],[StartDate]]&gt;90))</f>
        <v>0</v>
      </c>
    </row>
    <row r="603" spans="1:5" x14ac:dyDescent="0.3">
      <c r="A603">
        <v>4437</v>
      </c>
      <c r="B603" s="1">
        <v>40570</v>
      </c>
      <c r="C603" s="1">
        <v>42972</v>
      </c>
      <c r="D603" t="s">
        <v>25</v>
      </c>
      <c r="E603" t="b">
        <f>NOT(OR(ISBLANK(tblEmployee[[#This Row],[EndDate]]),tblEmployee[[#This Row],[EndDate]]-tblEmployee[[#This Row],[StartDate]]&gt;90))</f>
        <v>0</v>
      </c>
    </row>
    <row r="604" spans="1:5" x14ac:dyDescent="0.3">
      <c r="A604">
        <v>4441</v>
      </c>
      <c r="B604" s="1">
        <v>39692</v>
      </c>
      <c r="C604" s="1"/>
      <c r="E604" t="b">
        <f>NOT(OR(ISBLANK(tblEmployee[[#This Row],[EndDate]]),tblEmployee[[#This Row],[EndDate]]-tblEmployee[[#This Row],[StartDate]]&gt;90))</f>
        <v>0</v>
      </c>
    </row>
    <row r="605" spans="1:5" x14ac:dyDescent="0.3">
      <c r="A605">
        <v>4443</v>
      </c>
      <c r="B605" s="1">
        <v>42112</v>
      </c>
      <c r="C605" s="1"/>
      <c r="E605" t="b">
        <f>NOT(OR(ISBLANK(tblEmployee[[#This Row],[EndDate]]),tblEmployee[[#This Row],[EndDate]]-tblEmployee[[#This Row],[StartDate]]&gt;90))</f>
        <v>0</v>
      </c>
    </row>
    <row r="606" spans="1:5" x14ac:dyDescent="0.3">
      <c r="A606">
        <v>4449</v>
      </c>
      <c r="B606" s="1">
        <v>41415</v>
      </c>
      <c r="C606" s="1">
        <v>42840</v>
      </c>
      <c r="D606" t="s">
        <v>56</v>
      </c>
      <c r="E606" t="b">
        <f>NOT(OR(ISBLANK(tblEmployee[[#This Row],[EndDate]]),tblEmployee[[#This Row],[EndDate]]-tblEmployee[[#This Row],[StartDate]]&gt;90))</f>
        <v>0</v>
      </c>
    </row>
    <row r="607" spans="1:5" x14ac:dyDescent="0.3">
      <c r="A607">
        <v>4452</v>
      </c>
      <c r="B607" s="1">
        <v>43953</v>
      </c>
      <c r="C607" s="1"/>
      <c r="E607" t="b">
        <f>NOT(OR(ISBLANK(tblEmployee[[#This Row],[EndDate]]),tblEmployee[[#This Row],[EndDate]]-tblEmployee[[#This Row],[StartDate]]&gt;90))</f>
        <v>0</v>
      </c>
    </row>
    <row r="608" spans="1:5" x14ac:dyDescent="0.3">
      <c r="A608">
        <v>4453</v>
      </c>
      <c r="B608" s="1">
        <v>37830</v>
      </c>
      <c r="C608" s="1"/>
      <c r="E608" t="b">
        <f>NOT(OR(ISBLANK(tblEmployee[[#This Row],[EndDate]]),tblEmployee[[#This Row],[EndDate]]-tblEmployee[[#This Row],[StartDate]]&gt;90))</f>
        <v>0</v>
      </c>
    </row>
    <row r="609" spans="1:5" x14ac:dyDescent="0.3">
      <c r="A609">
        <v>4458</v>
      </c>
      <c r="B609" s="1">
        <v>42818</v>
      </c>
      <c r="C609" s="1"/>
      <c r="E609" t="b">
        <f>NOT(OR(ISBLANK(tblEmployee[[#This Row],[EndDate]]),tblEmployee[[#This Row],[EndDate]]-tblEmployee[[#This Row],[StartDate]]&gt;90))</f>
        <v>0</v>
      </c>
    </row>
    <row r="610" spans="1:5" x14ac:dyDescent="0.3">
      <c r="A610">
        <v>4459</v>
      </c>
      <c r="B610" s="1">
        <v>40615</v>
      </c>
      <c r="C610" s="1"/>
      <c r="E610" t="b">
        <f>NOT(OR(ISBLANK(tblEmployee[[#This Row],[EndDate]]),tblEmployee[[#This Row],[EndDate]]-tblEmployee[[#This Row],[StartDate]]&gt;90))</f>
        <v>0</v>
      </c>
    </row>
    <row r="611" spans="1:5" x14ac:dyDescent="0.3">
      <c r="A611">
        <v>4460</v>
      </c>
      <c r="B611" s="1">
        <v>39606</v>
      </c>
      <c r="C611" s="1">
        <v>43460</v>
      </c>
      <c r="D611" t="s">
        <v>30</v>
      </c>
      <c r="E611" t="b">
        <f>NOT(OR(ISBLANK(tblEmployee[[#This Row],[EndDate]]),tblEmployee[[#This Row],[EndDate]]-tblEmployee[[#This Row],[StartDate]]&gt;90))</f>
        <v>0</v>
      </c>
    </row>
    <row r="612" spans="1:5" x14ac:dyDescent="0.3">
      <c r="A612">
        <v>4480</v>
      </c>
      <c r="B612" s="1">
        <v>44078</v>
      </c>
      <c r="C612" s="1">
        <v>44263</v>
      </c>
      <c r="D612" t="s">
        <v>31</v>
      </c>
      <c r="E612" t="b">
        <f>NOT(OR(ISBLANK(tblEmployee[[#This Row],[EndDate]]),tblEmployee[[#This Row],[EndDate]]-tblEmployee[[#This Row],[StartDate]]&gt;90))</f>
        <v>0</v>
      </c>
    </row>
    <row r="613" spans="1:5" x14ac:dyDescent="0.3">
      <c r="A613">
        <v>4487</v>
      </c>
      <c r="B613" s="1">
        <v>37800</v>
      </c>
      <c r="C613" s="1"/>
      <c r="E613" t="b">
        <f>NOT(OR(ISBLANK(tblEmployee[[#This Row],[EndDate]]),tblEmployee[[#This Row],[EndDate]]-tblEmployee[[#This Row],[StartDate]]&gt;90))</f>
        <v>0</v>
      </c>
    </row>
    <row r="614" spans="1:5" x14ac:dyDescent="0.3">
      <c r="A614">
        <v>4499</v>
      </c>
      <c r="B614" s="1">
        <v>43526</v>
      </c>
      <c r="C614" s="1"/>
      <c r="E614" t="b">
        <f>NOT(OR(ISBLANK(tblEmployee[[#This Row],[EndDate]]),tblEmployee[[#This Row],[EndDate]]-tblEmployee[[#This Row],[StartDate]]&gt;90))</f>
        <v>0</v>
      </c>
    </row>
    <row r="615" spans="1:5" x14ac:dyDescent="0.3">
      <c r="A615">
        <v>4502</v>
      </c>
      <c r="B615" s="1">
        <v>37948</v>
      </c>
      <c r="C615" s="1"/>
      <c r="E615" t="b">
        <f>NOT(OR(ISBLANK(tblEmployee[[#This Row],[EndDate]]),tblEmployee[[#This Row],[EndDate]]-tblEmployee[[#This Row],[StartDate]]&gt;90))</f>
        <v>0</v>
      </c>
    </row>
    <row r="616" spans="1:5" x14ac:dyDescent="0.3">
      <c r="A616">
        <v>4505</v>
      </c>
      <c r="B616" s="1">
        <v>40792</v>
      </c>
      <c r="C616" s="1"/>
      <c r="E616" t="b">
        <f>NOT(OR(ISBLANK(tblEmployee[[#This Row],[EndDate]]),tblEmployee[[#This Row],[EndDate]]-tblEmployee[[#This Row],[StartDate]]&gt;90))</f>
        <v>0</v>
      </c>
    </row>
    <row r="617" spans="1:5" x14ac:dyDescent="0.3">
      <c r="A617">
        <v>4508</v>
      </c>
      <c r="B617" s="1">
        <v>39857</v>
      </c>
      <c r="C617" s="1"/>
      <c r="E617" t="b">
        <f>NOT(OR(ISBLANK(tblEmployee[[#This Row],[EndDate]]),tblEmployee[[#This Row],[EndDate]]-tblEmployee[[#This Row],[StartDate]]&gt;90))</f>
        <v>0</v>
      </c>
    </row>
    <row r="618" spans="1:5" x14ac:dyDescent="0.3">
      <c r="A618">
        <v>4512</v>
      </c>
      <c r="B618" s="1">
        <v>43917</v>
      </c>
      <c r="C618" s="1"/>
      <c r="E618" t="b">
        <f>NOT(OR(ISBLANK(tblEmployee[[#This Row],[EndDate]]),tblEmployee[[#This Row],[EndDate]]-tblEmployee[[#This Row],[StartDate]]&gt;90))</f>
        <v>0</v>
      </c>
    </row>
    <row r="619" spans="1:5" x14ac:dyDescent="0.3">
      <c r="A619">
        <v>4514</v>
      </c>
      <c r="B619" s="1">
        <v>40523</v>
      </c>
      <c r="C619" s="1"/>
      <c r="E619" t="b">
        <f>NOT(OR(ISBLANK(tblEmployee[[#This Row],[EndDate]]),tblEmployee[[#This Row],[EndDate]]-tblEmployee[[#This Row],[StartDate]]&gt;90))</f>
        <v>0</v>
      </c>
    </row>
    <row r="620" spans="1:5" x14ac:dyDescent="0.3">
      <c r="A620">
        <v>4547</v>
      </c>
      <c r="B620" s="1">
        <v>38162</v>
      </c>
      <c r="C620" s="1"/>
      <c r="E620" t="b">
        <f>NOT(OR(ISBLANK(tblEmployee[[#This Row],[EndDate]]),tblEmployee[[#This Row],[EndDate]]-tblEmployee[[#This Row],[StartDate]]&gt;90))</f>
        <v>0</v>
      </c>
    </row>
    <row r="621" spans="1:5" x14ac:dyDescent="0.3">
      <c r="A621">
        <v>4550</v>
      </c>
      <c r="B621" s="1">
        <v>39022</v>
      </c>
      <c r="C621" s="1"/>
      <c r="E621" t="b">
        <f>NOT(OR(ISBLANK(tblEmployee[[#This Row],[EndDate]]),tblEmployee[[#This Row],[EndDate]]-tblEmployee[[#This Row],[StartDate]]&gt;90))</f>
        <v>0</v>
      </c>
    </row>
    <row r="622" spans="1:5" x14ac:dyDescent="0.3">
      <c r="A622">
        <v>4552</v>
      </c>
      <c r="B622" s="1">
        <v>40721</v>
      </c>
      <c r="C622" s="1"/>
      <c r="E622" t="b">
        <f>NOT(OR(ISBLANK(tblEmployee[[#This Row],[EndDate]]),tblEmployee[[#This Row],[EndDate]]-tblEmployee[[#This Row],[StartDate]]&gt;90))</f>
        <v>0</v>
      </c>
    </row>
    <row r="623" spans="1:5" x14ac:dyDescent="0.3">
      <c r="A623">
        <v>4562</v>
      </c>
      <c r="B623" s="1">
        <v>38982</v>
      </c>
      <c r="C623" s="1"/>
      <c r="E623" t="b">
        <f>NOT(OR(ISBLANK(tblEmployee[[#This Row],[EndDate]]),tblEmployee[[#This Row],[EndDate]]-tblEmployee[[#This Row],[StartDate]]&gt;90))</f>
        <v>0</v>
      </c>
    </row>
    <row r="624" spans="1:5" x14ac:dyDescent="0.3">
      <c r="A624">
        <v>4565</v>
      </c>
      <c r="B624" s="1">
        <v>38416</v>
      </c>
      <c r="C624" s="1">
        <v>40782</v>
      </c>
      <c r="D624" t="s">
        <v>30</v>
      </c>
      <c r="E624" t="b">
        <f>NOT(OR(ISBLANK(tblEmployee[[#This Row],[EndDate]]),tblEmployee[[#This Row],[EndDate]]-tblEmployee[[#This Row],[StartDate]]&gt;90))</f>
        <v>0</v>
      </c>
    </row>
    <row r="625" spans="1:5" x14ac:dyDescent="0.3">
      <c r="A625">
        <v>4568</v>
      </c>
      <c r="B625" s="1">
        <v>39743</v>
      </c>
      <c r="C625" s="1"/>
      <c r="E625" t="b">
        <f>NOT(OR(ISBLANK(tblEmployee[[#This Row],[EndDate]]),tblEmployee[[#This Row],[EndDate]]-tblEmployee[[#This Row],[StartDate]]&gt;90))</f>
        <v>0</v>
      </c>
    </row>
    <row r="626" spans="1:5" x14ac:dyDescent="0.3">
      <c r="A626">
        <v>4572</v>
      </c>
      <c r="B626" s="1">
        <v>40608</v>
      </c>
      <c r="C626" s="1"/>
      <c r="E626" t="b">
        <f>NOT(OR(ISBLANK(tblEmployee[[#This Row],[EndDate]]),tblEmployee[[#This Row],[EndDate]]-tblEmployee[[#This Row],[StartDate]]&gt;90))</f>
        <v>0</v>
      </c>
    </row>
    <row r="627" spans="1:5" x14ac:dyDescent="0.3">
      <c r="A627">
        <v>4574</v>
      </c>
      <c r="B627" s="1">
        <v>37764</v>
      </c>
      <c r="C627" s="1"/>
      <c r="E627" t="b">
        <f>NOT(OR(ISBLANK(tblEmployee[[#This Row],[EndDate]]),tblEmployee[[#This Row],[EndDate]]-tblEmployee[[#This Row],[StartDate]]&gt;90))</f>
        <v>0</v>
      </c>
    </row>
    <row r="628" spans="1:5" x14ac:dyDescent="0.3">
      <c r="A628">
        <v>4575</v>
      </c>
      <c r="B628" s="1">
        <v>40848</v>
      </c>
      <c r="C628" s="1"/>
      <c r="E628" t="b">
        <f>NOT(OR(ISBLANK(tblEmployee[[#This Row],[EndDate]]),tblEmployee[[#This Row],[EndDate]]-tblEmployee[[#This Row],[StartDate]]&gt;90))</f>
        <v>0</v>
      </c>
    </row>
    <row r="629" spans="1:5" x14ac:dyDescent="0.3">
      <c r="A629">
        <v>4588</v>
      </c>
      <c r="B629" s="1">
        <v>39002</v>
      </c>
      <c r="C629" s="1"/>
      <c r="E629" t="b">
        <f>NOT(OR(ISBLANK(tblEmployee[[#This Row],[EndDate]]),tblEmployee[[#This Row],[EndDate]]-tblEmployee[[#This Row],[StartDate]]&gt;90))</f>
        <v>0</v>
      </c>
    </row>
    <row r="630" spans="1:5" x14ac:dyDescent="0.3">
      <c r="A630">
        <v>4589</v>
      </c>
      <c r="B630" s="1">
        <v>41443</v>
      </c>
      <c r="C630" s="1"/>
      <c r="E630" t="b">
        <f>NOT(OR(ISBLANK(tblEmployee[[#This Row],[EndDate]]),tblEmployee[[#This Row],[EndDate]]-tblEmployee[[#This Row],[StartDate]]&gt;90))</f>
        <v>0</v>
      </c>
    </row>
    <row r="631" spans="1:5" x14ac:dyDescent="0.3">
      <c r="A631">
        <v>4590</v>
      </c>
      <c r="B631" s="1">
        <v>43301</v>
      </c>
      <c r="C631" s="1"/>
      <c r="E631" t="b">
        <f>NOT(OR(ISBLANK(tblEmployee[[#This Row],[EndDate]]),tblEmployee[[#This Row],[EndDate]]-tblEmployee[[#This Row],[StartDate]]&gt;90))</f>
        <v>0</v>
      </c>
    </row>
    <row r="632" spans="1:5" x14ac:dyDescent="0.3">
      <c r="A632">
        <v>4592</v>
      </c>
      <c r="B632" s="1">
        <v>41971</v>
      </c>
      <c r="C632" s="1"/>
      <c r="E632" t="b">
        <f>NOT(OR(ISBLANK(tblEmployee[[#This Row],[EndDate]]),tblEmployee[[#This Row],[EndDate]]-tblEmployee[[#This Row],[StartDate]]&gt;90))</f>
        <v>0</v>
      </c>
    </row>
    <row r="633" spans="1:5" x14ac:dyDescent="0.3">
      <c r="A633">
        <v>4609</v>
      </c>
      <c r="B633" s="1">
        <v>38896</v>
      </c>
      <c r="C633" s="1"/>
      <c r="E633" t="b">
        <f>NOT(OR(ISBLANK(tblEmployee[[#This Row],[EndDate]]),tblEmployee[[#This Row],[EndDate]]-tblEmployee[[#This Row],[StartDate]]&gt;90))</f>
        <v>0</v>
      </c>
    </row>
    <row r="634" spans="1:5" x14ac:dyDescent="0.3">
      <c r="A634">
        <v>4614</v>
      </c>
      <c r="B634" s="1">
        <v>43044</v>
      </c>
      <c r="C634" s="1"/>
      <c r="E634" t="b">
        <f>NOT(OR(ISBLANK(tblEmployee[[#This Row],[EndDate]]),tblEmployee[[#This Row],[EndDate]]-tblEmployee[[#This Row],[StartDate]]&gt;90))</f>
        <v>0</v>
      </c>
    </row>
    <row r="635" spans="1:5" x14ac:dyDescent="0.3">
      <c r="A635">
        <v>4616</v>
      </c>
      <c r="B635" s="1">
        <v>40638</v>
      </c>
      <c r="C635" s="1"/>
      <c r="E635" t="b">
        <f>NOT(OR(ISBLANK(tblEmployee[[#This Row],[EndDate]]),tblEmployee[[#This Row],[EndDate]]-tblEmployee[[#This Row],[StartDate]]&gt;90))</f>
        <v>0</v>
      </c>
    </row>
    <row r="636" spans="1:5" x14ac:dyDescent="0.3">
      <c r="A636">
        <v>4617</v>
      </c>
      <c r="B636" s="1">
        <v>39496</v>
      </c>
      <c r="C636" s="1"/>
      <c r="E636" t="b">
        <f>NOT(OR(ISBLANK(tblEmployee[[#This Row],[EndDate]]),tblEmployee[[#This Row],[EndDate]]-tblEmployee[[#This Row],[StartDate]]&gt;90))</f>
        <v>0</v>
      </c>
    </row>
    <row r="637" spans="1:5" x14ac:dyDescent="0.3">
      <c r="A637">
        <v>4618</v>
      </c>
      <c r="B637" s="1">
        <v>37865</v>
      </c>
      <c r="C637" s="1"/>
      <c r="E637" t="b">
        <f>NOT(OR(ISBLANK(tblEmployee[[#This Row],[EndDate]]),tblEmployee[[#This Row],[EndDate]]-tblEmployee[[#This Row],[StartDate]]&gt;90))</f>
        <v>0</v>
      </c>
    </row>
    <row r="638" spans="1:5" x14ac:dyDescent="0.3">
      <c r="A638">
        <v>4622</v>
      </c>
      <c r="B638" s="1">
        <v>43868</v>
      </c>
      <c r="C638" s="1">
        <v>44306</v>
      </c>
      <c r="D638" t="s">
        <v>30</v>
      </c>
      <c r="E638" t="b">
        <f>NOT(OR(ISBLANK(tblEmployee[[#This Row],[EndDate]]),tblEmployee[[#This Row],[EndDate]]-tblEmployee[[#This Row],[StartDate]]&gt;90))</f>
        <v>0</v>
      </c>
    </row>
    <row r="639" spans="1:5" x14ac:dyDescent="0.3">
      <c r="A639">
        <v>4643</v>
      </c>
      <c r="B639" s="1">
        <v>43972</v>
      </c>
      <c r="C639" s="1">
        <v>44119</v>
      </c>
      <c r="D639" t="s">
        <v>30</v>
      </c>
      <c r="E639" t="b">
        <f>NOT(OR(ISBLANK(tblEmployee[[#This Row],[EndDate]]),tblEmployee[[#This Row],[EndDate]]-tblEmployee[[#This Row],[StartDate]]&gt;90))</f>
        <v>0</v>
      </c>
    </row>
    <row r="640" spans="1:5" x14ac:dyDescent="0.3">
      <c r="A640">
        <v>4644</v>
      </c>
      <c r="B640" s="1">
        <v>43573</v>
      </c>
      <c r="C640" s="1">
        <v>44251</v>
      </c>
      <c r="D640" t="s">
        <v>25</v>
      </c>
      <c r="E640" t="b">
        <f>NOT(OR(ISBLANK(tblEmployee[[#This Row],[EndDate]]),tblEmployee[[#This Row],[EndDate]]-tblEmployee[[#This Row],[StartDate]]&gt;90))</f>
        <v>0</v>
      </c>
    </row>
    <row r="641" spans="1:5" x14ac:dyDescent="0.3">
      <c r="A641">
        <v>4646</v>
      </c>
      <c r="B641" s="1">
        <v>40943</v>
      </c>
      <c r="C641" s="1"/>
      <c r="E641" t="b">
        <f>NOT(OR(ISBLANK(tblEmployee[[#This Row],[EndDate]]),tblEmployee[[#This Row],[EndDate]]-tblEmployee[[#This Row],[StartDate]]&gt;90))</f>
        <v>0</v>
      </c>
    </row>
    <row r="642" spans="1:5" x14ac:dyDescent="0.3">
      <c r="A642">
        <v>4651</v>
      </c>
      <c r="B642" s="1">
        <v>38534</v>
      </c>
      <c r="C642" s="1"/>
      <c r="E642" t="b">
        <f>NOT(OR(ISBLANK(tblEmployee[[#This Row],[EndDate]]),tblEmployee[[#This Row],[EndDate]]-tblEmployee[[#This Row],[StartDate]]&gt;90))</f>
        <v>0</v>
      </c>
    </row>
    <row r="643" spans="1:5" x14ac:dyDescent="0.3">
      <c r="A643">
        <v>4654</v>
      </c>
      <c r="B643" s="1">
        <v>43324</v>
      </c>
      <c r="C643" s="1"/>
      <c r="E643" t="b">
        <f>NOT(OR(ISBLANK(tblEmployee[[#This Row],[EndDate]]),tblEmployee[[#This Row],[EndDate]]-tblEmployee[[#This Row],[StartDate]]&gt;90))</f>
        <v>0</v>
      </c>
    </row>
    <row r="644" spans="1:5" x14ac:dyDescent="0.3">
      <c r="A644">
        <v>4657</v>
      </c>
      <c r="B644" s="1">
        <v>37696</v>
      </c>
      <c r="C644" s="1"/>
      <c r="E644" t="b">
        <f>NOT(OR(ISBLANK(tblEmployee[[#This Row],[EndDate]]),tblEmployee[[#This Row],[EndDate]]-tblEmployee[[#This Row],[StartDate]]&gt;90))</f>
        <v>0</v>
      </c>
    </row>
    <row r="645" spans="1:5" x14ac:dyDescent="0.3">
      <c r="A645">
        <v>4662</v>
      </c>
      <c r="B645" s="1">
        <v>40664</v>
      </c>
      <c r="C645" s="1"/>
      <c r="E645" t="b">
        <f>NOT(OR(ISBLANK(tblEmployee[[#This Row],[EndDate]]),tblEmployee[[#This Row],[EndDate]]-tblEmployee[[#This Row],[StartDate]]&gt;90))</f>
        <v>0</v>
      </c>
    </row>
    <row r="646" spans="1:5" x14ac:dyDescent="0.3">
      <c r="A646">
        <v>4666</v>
      </c>
      <c r="B646" s="1">
        <v>38081</v>
      </c>
      <c r="C646" s="1">
        <v>44497</v>
      </c>
      <c r="D646" t="s">
        <v>30</v>
      </c>
      <c r="E646" t="b">
        <f>NOT(OR(ISBLANK(tblEmployee[[#This Row],[EndDate]]),tblEmployee[[#This Row],[EndDate]]-tblEmployee[[#This Row],[StartDate]]&gt;90))</f>
        <v>0</v>
      </c>
    </row>
    <row r="647" spans="1:5" x14ac:dyDescent="0.3">
      <c r="A647">
        <v>4669</v>
      </c>
      <c r="B647" s="1">
        <v>43275</v>
      </c>
      <c r="C647" s="1"/>
      <c r="E647" t="b">
        <f>NOT(OR(ISBLANK(tblEmployee[[#This Row],[EndDate]]),tblEmployee[[#This Row],[EndDate]]-tblEmployee[[#This Row],[StartDate]]&gt;90))</f>
        <v>0</v>
      </c>
    </row>
    <row r="648" spans="1:5" x14ac:dyDescent="0.3">
      <c r="A648">
        <v>4678</v>
      </c>
      <c r="B648" s="1">
        <v>37750</v>
      </c>
      <c r="C648" s="1"/>
      <c r="E648" t="b">
        <f>NOT(OR(ISBLANK(tblEmployee[[#This Row],[EndDate]]),tblEmployee[[#This Row],[EndDate]]-tblEmployee[[#This Row],[StartDate]]&gt;90))</f>
        <v>0</v>
      </c>
    </row>
    <row r="649" spans="1:5" x14ac:dyDescent="0.3">
      <c r="A649">
        <v>4683</v>
      </c>
      <c r="B649" s="1">
        <v>43012</v>
      </c>
      <c r="C649" s="1"/>
      <c r="E649" t="b">
        <f>NOT(OR(ISBLANK(tblEmployee[[#This Row],[EndDate]]),tblEmployee[[#This Row],[EndDate]]-tblEmployee[[#This Row],[StartDate]]&gt;90))</f>
        <v>0</v>
      </c>
    </row>
    <row r="650" spans="1:5" x14ac:dyDescent="0.3">
      <c r="A650">
        <v>4686</v>
      </c>
      <c r="B650" s="1">
        <v>43892</v>
      </c>
      <c r="C650" s="1"/>
      <c r="E650" t="b">
        <f>NOT(OR(ISBLANK(tblEmployee[[#This Row],[EndDate]]),tblEmployee[[#This Row],[EndDate]]-tblEmployee[[#This Row],[StartDate]]&gt;90))</f>
        <v>0</v>
      </c>
    </row>
    <row r="651" spans="1:5" x14ac:dyDescent="0.3">
      <c r="A651">
        <v>4690</v>
      </c>
      <c r="B651" s="1">
        <v>38193</v>
      </c>
      <c r="C651" s="1"/>
      <c r="E651" t="b">
        <f>NOT(OR(ISBLANK(tblEmployee[[#This Row],[EndDate]]),tblEmployee[[#This Row],[EndDate]]-tblEmployee[[#This Row],[StartDate]]&gt;90))</f>
        <v>0</v>
      </c>
    </row>
    <row r="652" spans="1:5" x14ac:dyDescent="0.3">
      <c r="A652">
        <v>4693</v>
      </c>
      <c r="B652" s="1">
        <v>40758</v>
      </c>
      <c r="C652" s="1">
        <v>44004</v>
      </c>
      <c r="D652" t="s">
        <v>25</v>
      </c>
      <c r="E652" t="b">
        <f>NOT(OR(ISBLANK(tblEmployee[[#This Row],[EndDate]]),tblEmployee[[#This Row],[EndDate]]-tblEmployee[[#This Row],[StartDate]]&gt;90))</f>
        <v>0</v>
      </c>
    </row>
    <row r="653" spans="1:5" x14ac:dyDescent="0.3">
      <c r="A653">
        <v>4695</v>
      </c>
      <c r="B653" s="1">
        <v>39163</v>
      </c>
      <c r="C653" s="1"/>
      <c r="E653" t="b">
        <f>NOT(OR(ISBLANK(tblEmployee[[#This Row],[EndDate]]),tblEmployee[[#This Row],[EndDate]]-tblEmployee[[#This Row],[StartDate]]&gt;90))</f>
        <v>0</v>
      </c>
    </row>
    <row r="654" spans="1:5" x14ac:dyDescent="0.3">
      <c r="A654">
        <v>4700</v>
      </c>
      <c r="B654" s="1">
        <v>42796</v>
      </c>
      <c r="C654" s="1"/>
      <c r="E654" t="b">
        <f>NOT(OR(ISBLANK(tblEmployee[[#This Row],[EndDate]]),tblEmployee[[#This Row],[EndDate]]-tblEmployee[[#This Row],[StartDate]]&gt;90))</f>
        <v>0</v>
      </c>
    </row>
    <row r="655" spans="1:5" x14ac:dyDescent="0.3">
      <c r="A655">
        <v>4701</v>
      </c>
      <c r="B655" s="1">
        <v>42909</v>
      </c>
      <c r="C655" s="1"/>
      <c r="E655" t="b">
        <f>NOT(OR(ISBLANK(tblEmployee[[#This Row],[EndDate]]),tblEmployee[[#This Row],[EndDate]]-tblEmployee[[#This Row],[StartDate]]&gt;90))</f>
        <v>0</v>
      </c>
    </row>
    <row r="656" spans="1:5" x14ac:dyDescent="0.3">
      <c r="A656">
        <v>4707</v>
      </c>
      <c r="B656" s="1">
        <v>37857</v>
      </c>
      <c r="C656" s="1"/>
      <c r="E656" t="b">
        <f>NOT(OR(ISBLANK(tblEmployee[[#This Row],[EndDate]]),tblEmployee[[#This Row],[EndDate]]-tblEmployee[[#This Row],[StartDate]]&gt;90))</f>
        <v>0</v>
      </c>
    </row>
    <row r="657" spans="1:5" x14ac:dyDescent="0.3">
      <c r="A657">
        <v>4711</v>
      </c>
      <c r="B657" s="1">
        <v>43263</v>
      </c>
      <c r="C657" s="1"/>
      <c r="E657" t="b">
        <f>NOT(OR(ISBLANK(tblEmployee[[#This Row],[EndDate]]),tblEmployee[[#This Row],[EndDate]]-tblEmployee[[#This Row],[StartDate]]&gt;90))</f>
        <v>0</v>
      </c>
    </row>
    <row r="658" spans="1:5" x14ac:dyDescent="0.3">
      <c r="A658">
        <v>4714</v>
      </c>
      <c r="B658" s="1">
        <v>39865</v>
      </c>
      <c r="C658" s="1"/>
      <c r="E658" t="b">
        <f>NOT(OR(ISBLANK(tblEmployee[[#This Row],[EndDate]]),tblEmployee[[#This Row],[EndDate]]-tblEmployee[[#This Row],[StartDate]]&gt;90))</f>
        <v>0</v>
      </c>
    </row>
    <row r="659" spans="1:5" x14ac:dyDescent="0.3">
      <c r="A659">
        <v>4716</v>
      </c>
      <c r="B659" s="1">
        <v>39898</v>
      </c>
      <c r="C659" s="1"/>
      <c r="E659" t="b">
        <f>NOT(OR(ISBLANK(tblEmployee[[#This Row],[EndDate]]),tblEmployee[[#This Row],[EndDate]]-tblEmployee[[#This Row],[StartDate]]&gt;90))</f>
        <v>0</v>
      </c>
    </row>
    <row r="660" spans="1:5" x14ac:dyDescent="0.3">
      <c r="A660">
        <v>4719</v>
      </c>
      <c r="B660" s="1">
        <v>37824</v>
      </c>
      <c r="C660" s="1"/>
      <c r="E660" t="b">
        <f>NOT(OR(ISBLANK(tblEmployee[[#This Row],[EndDate]]),tblEmployee[[#This Row],[EndDate]]-tblEmployee[[#This Row],[StartDate]]&gt;90))</f>
        <v>0</v>
      </c>
    </row>
    <row r="661" spans="1:5" x14ac:dyDescent="0.3">
      <c r="A661">
        <v>4738</v>
      </c>
      <c r="B661" s="1">
        <v>39748</v>
      </c>
      <c r="C661" s="1"/>
      <c r="E661" t="b">
        <f>NOT(OR(ISBLANK(tblEmployee[[#This Row],[EndDate]]),tblEmployee[[#This Row],[EndDate]]-tblEmployee[[#This Row],[StartDate]]&gt;90))</f>
        <v>0</v>
      </c>
    </row>
    <row r="662" spans="1:5" x14ac:dyDescent="0.3">
      <c r="A662">
        <v>4741</v>
      </c>
      <c r="B662" s="1">
        <v>37529</v>
      </c>
      <c r="C662" s="1"/>
      <c r="E662" t="b">
        <f>NOT(OR(ISBLANK(tblEmployee[[#This Row],[EndDate]]),tblEmployee[[#This Row],[EndDate]]-tblEmployee[[#This Row],[StartDate]]&gt;90))</f>
        <v>0</v>
      </c>
    </row>
    <row r="663" spans="1:5" x14ac:dyDescent="0.3">
      <c r="A663">
        <v>4742</v>
      </c>
      <c r="B663" s="1">
        <v>40605</v>
      </c>
      <c r="C663" s="1"/>
      <c r="E663" t="b">
        <f>NOT(OR(ISBLANK(tblEmployee[[#This Row],[EndDate]]),tblEmployee[[#This Row],[EndDate]]-tblEmployee[[#This Row],[StartDate]]&gt;90))</f>
        <v>0</v>
      </c>
    </row>
    <row r="664" spans="1:5" x14ac:dyDescent="0.3">
      <c r="A664">
        <v>4743</v>
      </c>
      <c r="B664" s="1">
        <v>41390</v>
      </c>
      <c r="C664" s="1">
        <v>44306</v>
      </c>
      <c r="D664" t="s">
        <v>56</v>
      </c>
      <c r="E664" t="b">
        <f>NOT(OR(ISBLANK(tblEmployee[[#This Row],[EndDate]]),tblEmployee[[#This Row],[EndDate]]-tblEmployee[[#This Row],[StartDate]]&gt;90))</f>
        <v>0</v>
      </c>
    </row>
    <row r="665" spans="1:5" x14ac:dyDescent="0.3">
      <c r="A665">
        <v>4746</v>
      </c>
      <c r="B665" s="1">
        <v>43700</v>
      </c>
      <c r="C665" s="1"/>
      <c r="E665" t="b">
        <f>NOT(OR(ISBLANK(tblEmployee[[#This Row],[EndDate]]),tblEmployee[[#This Row],[EndDate]]-tblEmployee[[#This Row],[StartDate]]&gt;90))</f>
        <v>0</v>
      </c>
    </row>
    <row r="666" spans="1:5" x14ac:dyDescent="0.3">
      <c r="A666">
        <v>4749</v>
      </c>
      <c r="B666" s="1">
        <v>41371</v>
      </c>
      <c r="C666" s="1">
        <v>42138</v>
      </c>
      <c r="D666" t="s">
        <v>25</v>
      </c>
      <c r="E666" t="b">
        <f>NOT(OR(ISBLANK(tblEmployee[[#This Row],[EndDate]]),tblEmployee[[#This Row],[EndDate]]-tblEmployee[[#This Row],[StartDate]]&gt;90))</f>
        <v>0</v>
      </c>
    </row>
    <row r="667" spans="1:5" x14ac:dyDescent="0.3">
      <c r="A667">
        <v>4750</v>
      </c>
      <c r="B667" s="1">
        <v>43957</v>
      </c>
      <c r="C667" s="1"/>
      <c r="E667" t="b">
        <f>NOT(OR(ISBLANK(tblEmployee[[#This Row],[EndDate]]),tblEmployee[[#This Row],[EndDate]]-tblEmployee[[#This Row],[StartDate]]&gt;90))</f>
        <v>0</v>
      </c>
    </row>
    <row r="668" spans="1:5" x14ac:dyDescent="0.3">
      <c r="A668">
        <v>4751</v>
      </c>
      <c r="B668" s="1">
        <v>39888</v>
      </c>
      <c r="C668" s="1"/>
      <c r="E668" t="b">
        <f>NOT(OR(ISBLANK(tblEmployee[[#This Row],[EndDate]]),tblEmployee[[#This Row],[EndDate]]-tblEmployee[[#This Row],[StartDate]]&gt;90))</f>
        <v>0</v>
      </c>
    </row>
    <row r="669" spans="1:5" x14ac:dyDescent="0.3">
      <c r="A669">
        <v>4754</v>
      </c>
      <c r="B669" s="1">
        <v>38491</v>
      </c>
      <c r="C669" s="1"/>
      <c r="E669" t="b">
        <f>NOT(OR(ISBLANK(tblEmployee[[#This Row],[EndDate]]),tblEmployee[[#This Row],[EndDate]]-tblEmployee[[#This Row],[StartDate]]&gt;90))</f>
        <v>0</v>
      </c>
    </row>
    <row r="670" spans="1:5" x14ac:dyDescent="0.3">
      <c r="A670">
        <v>4758</v>
      </c>
      <c r="B670" s="1">
        <v>40719</v>
      </c>
      <c r="C670" s="1"/>
      <c r="E670" t="b">
        <f>NOT(OR(ISBLANK(tblEmployee[[#This Row],[EndDate]]),tblEmployee[[#This Row],[EndDate]]-tblEmployee[[#This Row],[StartDate]]&gt;90))</f>
        <v>0</v>
      </c>
    </row>
    <row r="671" spans="1:5" x14ac:dyDescent="0.3">
      <c r="A671">
        <v>4779</v>
      </c>
      <c r="B671" s="1">
        <v>43175</v>
      </c>
      <c r="C671" s="1"/>
      <c r="E671" t="b">
        <f>NOT(OR(ISBLANK(tblEmployee[[#This Row],[EndDate]]),tblEmployee[[#This Row],[EndDate]]-tblEmployee[[#This Row],[StartDate]]&gt;90))</f>
        <v>0</v>
      </c>
    </row>
    <row r="672" spans="1:5" x14ac:dyDescent="0.3">
      <c r="A672">
        <v>4781</v>
      </c>
      <c r="B672" s="1">
        <v>38145</v>
      </c>
      <c r="C672" s="1"/>
      <c r="E672" t="b">
        <f>NOT(OR(ISBLANK(tblEmployee[[#This Row],[EndDate]]),tblEmployee[[#This Row],[EndDate]]-tblEmployee[[#This Row],[StartDate]]&gt;90))</f>
        <v>0</v>
      </c>
    </row>
    <row r="673" spans="1:5" x14ac:dyDescent="0.3">
      <c r="A673">
        <v>4786</v>
      </c>
      <c r="B673" s="1">
        <v>40596</v>
      </c>
      <c r="C673" s="1"/>
      <c r="E673" t="b">
        <f>NOT(OR(ISBLANK(tblEmployee[[#This Row],[EndDate]]),tblEmployee[[#This Row],[EndDate]]-tblEmployee[[#This Row],[StartDate]]&gt;90))</f>
        <v>0</v>
      </c>
    </row>
    <row r="674" spans="1:5" x14ac:dyDescent="0.3">
      <c r="A674">
        <v>4787</v>
      </c>
      <c r="B674" s="1">
        <v>40403</v>
      </c>
      <c r="C674" s="1"/>
      <c r="E674" t="b">
        <f>NOT(OR(ISBLANK(tblEmployee[[#This Row],[EndDate]]),tblEmployee[[#This Row],[EndDate]]-tblEmployee[[#This Row],[StartDate]]&gt;90))</f>
        <v>0</v>
      </c>
    </row>
    <row r="675" spans="1:5" x14ac:dyDescent="0.3">
      <c r="A675">
        <v>4790</v>
      </c>
      <c r="B675" s="1">
        <v>39378</v>
      </c>
      <c r="C675" s="1"/>
      <c r="E675" t="b">
        <f>NOT(OR(ISBLANK(tblEmployee[[#This Row],[EndDate]]),tblEmployee[[#This Row],[EndDate]]-tblEmployee[[#This Row],[StartDate]]&gt;90))</f>
        <v>0</v>
      </c>
    </row>
    <row r="676" spans="1:5" x14ac:dyDescent="0.3">
      <c r="A676">
        <v>4799</v>
      </c>
      <c r="B676" s="1">
        <v>39346</v>
      </c>
      <c r="C676" s="1"/>
      <c r="E676" t="b">
        <f>NOT(OR(ISBLANK(tblEmployee[[#This Row],[EndDate]]),tblEmployee[[#This Row],[EndDate]]-tblEmployee[[#This Row],[StartDate]]&gt;90))</f>
        <v>0</v>
      </c>
    </row>
    <row r="677" spans="1:5" x14ac:dyDescent="0.3">
      <c r="A677">
        <v>4806</v>
      </c>
      <c r="B677" s="1">
        <v>39775</v>
      </c>
      <c r="C677" s="1">
        <v>42369</v>
      </c>
      <c r="D677" t="s">
        <v>26</v>
      </c>
      <c r="E677" t="b">
        <f>NOT(OR(ISBLANK(tblEmployee[[#This Row],[EndDate]]),tblEmployee[[#This Row],[EndDate]]-tblEmployee[[#This Row],[StartDate]]&gt;90))</f>
        <v>0</v>
      </c>
    </row>
    <row r="678" spans="1:5" x14ac:dyDescent="0.3">
      <c r="A678">
        <v>4807</v>
      </c>
      <c r="B678" s="1">
        <v>42281</v>
      </c>
      <c r="C678" s="1">
        <v>43423</v>
      </c>
      <c r="D678" t="s">
        <v>30</v>
      </c>
      <c r="E678" t="b">
        <f>NOT(OR(ISBLANK(tblEmployee[[#This Row],[EndDate]]),tblEmployee[[#This Row],[EndDate]]-tblEmployee[[#This Row],[StartDate]]&gt;90))</f>
        <v>0</v>
      </c>
    </row>
    <row r="679" spans="1:5" x14ac:dyDescent="0.3">
      <c r="A679">
        <v>4808</v>
      </c>
      <c r="B679" s="1">
        <v>37982</v>
      </c>
      <c r="C679" s="1"/>
      <c r="E679" t="b">
        <f>NOT(OR(ISBLANK(tblEmployee[[#This Row],[EndDate]]),tblEmployee[[#This Row],[EndDate]]-tblEmployee[[#This Row],[StartDate]]&gt;90))</f>
        <v>0</v>
      </c>
    </row>
    <row r="680" spans="1:5" x14ac:dyDescent="0.3">
      <c r="A680">
        <v>4810</v>
      </c>
      <c r="B680" s="1">
        <v>40730</v>
      </c>
      <c r="C680" s="1">
        <v>41165</v>
      </c>
      <c r="D680" t="s">
        <v>56</v>
      </c>
      <c r="E680" t="b">
        <f>NOT(OR(ISBLANK(tblEmployee[[#This Row],[EndDate]]),tblEmployee[[#This Row],[EndDate]]-tblEmployee[[#This Row],[StartDate]]&gt;90))</f>
        <v>0</v>
      </c>
    </row>
    <row r="681" spans="1:5" x14ac:dyDescent="0.3">
      <c r="A681">
        <v>4814</v>
      </c>
      <c r="B681" s="1">
        <v>38544</v>
      </c>
      <c r="C681" s="1"/>
      <c r="E681" t="b">
        <f>NOT(OR(ISBLANK(tblEmployee[[#This Row],[EndDate]]),tblEmployee[[#This Row],[EndDate]]-tblEmployee[[#This Row],[StartDate]]&gt;90))</f>
        <v>0</v>
      </c>
    </row>
    <row r="682" spans="1:5" x14ac:dyDescent="0.3">
      <c r="A682">
        <v>4824</v>
      </c>
      <c r="B682" s="1">
        <v>42745</v>
      </c>
      <c r="C682" s="1">
        <v>44224</v>
      </c>
      <c r="D682" t="s">
        <v>56</v>
      </c>
      <c r="E682" t="b">
        <f>NOT(OR(ISBLANK(tblEmployee[[#This Row],[EndDate]]),tblEmployee[[#This Row],[EndDate]]-tblEmployee[[#This Row],[StartDate]]&gt;90))</f>
        <v>0</v>
      </c>
    </row>
    <row r="683" spans="1:5" x14ac:dyDescent="0.3">
      <c r="A683">
        <v>4829</v>
      </c>
      <c r="B683" s="1">
        <v>41864</v>
      </c>
      <c r="C683" s="1"/>
      <c r="E683" t="b">
        <f>NOT(OR(ISBLANK(tblEmployee[[#This Row],[EndDate]]),tblEmployee[[#This Row],[EndDate]]-tblEmployee[[#This Row],[StartDate]]&gt;90))</f>
        <v>0</v>
      </c>
    </row>
    <row r="684" spans="1:5" x14ac:dyDescent="0.3">
      <c r="A684">
        <v>4832</v>
      </c>
      <c r="B684" s="1">
        <v>37696</v>
      </c>
      <c r="C684" s="1"/>
      <c r="E684" t="b">
        <f>NOT(OR(ISBLANK(tblEmployee[[#This Row],[EndDate]]),tblEmployee[[#This Row],[EndDate]]-tblEmployee[[#This Row],[StartDate]]&gt;90))</f>
        <v>0</v>
      </c>
    </row>
    <row r="685" spans="1:5" x14ac:dyDescent="0.3">
      <c r="A685">
        <v>4847</v>
      </c>
      <c r="B685" s="1">
        <v>42615</v>
      </c>
      <c r="C685" s="1">
        <v>44394</v>
      </c>
      <c r="D685" t="s">
        <v>27</v>
      </c>
      <c r="E685" t="b">
        <f>NOT(OR(ISBLANK(tblEmployee[[#This Row],[EndDate]]),tblEmployee[[#This Row],[EndDate]]-tblEmployee[[#This Row],[StartDate]]&gt;90))</f>
        <v>0</v>
      </c>
    </row>
    <row r="686" spans="1:5" x14ac:dyDescent="0.3">
      <c r="A686">
        <v>4849</v>
      </c>
      <c r="B686" s="1">
        <v>41248</v>
      </c>
      <c r="C686" s="1"/>
      <c r="E686" t="b">
        <f>NOT(OR(ISBLANK(tblEmployee[[#This Row],[EndDate]]),tblEmployee[[#This Row],[EndDate]]-tblEmployee[[#This Row],[StartDate]]&gt;90))</f>
        <v>0</v>
      </c>
    </row>
    <row r="687" spans="1:5" x14ac:dyDescent="0.3">
      <c r="A687">
        <v>4856</v>
      </c>
      <c r="B687" s="1">
        <v>41756</v>
      </c>
      <c r="C687" s="1">
        <v>43768</v>
      </c>
      <c r="D687" t="s">
        <v>25</v>
      </c>
      <c r="E687" t="b">
        <f>NOT(OR(ISBLANK(tblEmployee[[#This Row],[EndDate]]),tblEmployee[[#This Row],[EndDate]]-tblEmployee[[#This Row],[StartDate]]&gt;90))</f>
        <v>0</v>
      </c>
    </row>
    <row r="688" spans="1:5" x14ac:dyDescent="0.3">
      <c r="A688">
        <v>4857</v>
      </c>
      <c r="B688" s="1">
        <v>40351</v>
      </c>
      <c r="C688" s="1"/>
      <c r="E688" t="b">
        <f>NOT(OR(ISBLANK(tblEmployee[[#This Row],[EndDate]]),tblEmployee[[#This Row],[EndDate]]-tblEmployee[[#This Row],[StartDate]]&gt;90))</f>
        <v>0</v>
      </c>
    </row>
    <row r="689" spans="1:5" x14ac:dyDescent="0.3">
      <c r="A689">
        <v>4864</v>
      </c>
      <c r="B689" s="1">
        <v>43474</v>
      </c>
      <c r="C689" s="1">
        <v>44133</v>
      </c>
      <c r="D689" t="s">
        <v>27</v>
      </c>
      <c r="E689" t="b">
        <f>NOT(OR(ISBLANK(tblEmployee[[#This Row],[EndDate]]),tblEmployee[[#This Row],[EndDate]]-tblEmployee[[#This Row],[StartDate]]&gt;90))</f>
        <v>0</v>
      </c>
    </row>
    <row r="690" spans="1:5" x14ac:dyDescent="0.3">
      <c r="A690">
        <v>4872</v>
      </c>
      <c r="B690" s="1">
        <v>40351</v>
      </c>
      <c r="C690" s="1"/>
      <c r="E690" t="b">
        <f>NOT(OR(ISBLANK(tblEmployee[[#This Row],[EndDate]]),tblEmployee[[#This Row],[EndDate]]-tblEmployee[[#This Row],[StartDate]]&gt;90))</f>
        <v>0</v>
      </c>
    </row>
    <row r="691" spans="1:5" x14ac:dyDescent="0.3">
      <c r="A691">
        <v>4875</v>
      </c>
      <c r="B691" s="1">
        <v>40941</v>
      </c>
      <c r="C691" s="1"/>
      <c r="E691" t="b">
        <f>NOT(OR(ISBLANK(tblEmployee[[#This Row],[EndDate]]),tblEmployee[[#This Row],[EndDate]]-tblEmployee[[#This Row],[StartDate]]&gt;90))</f>
        <v>0</v>
      </c>
    </row>
    <row r="692" spans="1:5" x14ac:dyDescent="0.3">
      <c r="A692">
        <v>4880</v>
      </c>
      <c r="B692" s="1">
        <v>43170</v>
      </c>
      <c r="C692" s="1"/>
      <c r="E692" t="b">
        <f>NOT(OR(ISBLANK(tblEmployee[[#This Row],[EndDate]]),tblEmployee[[#This Row],[EndDate]]-tblEmployee[[#This Row],[StartDate]]&gt;90))</f>
        <v>0</v>
      </c>
    </row>
    <row r="693" spans="1:5" x14ac:dyDescent="0.3">
      <c r="A693">
        <v>4882</v>
      </c>
      <c r="B693" s="1">
        <v>39203</v>
      </c>
      <c r="C693" s="1"/>
      <c r="E693" t="b">
        <f>NOT(OR(ISBLANK(tblEmployee[[#This Row],[EndDate]]),tblEmployee[[#This Row],[EndDate]]-tblEmployee[[#This Row],[StartDate]]&gt;90))</f>
        <v>0</v>
      </c>
    </row>
    <row r="694" spans="1:5" x14ac:dyDescent="0.3">
      <c r="A694">
        <v>4883</v>
      </c>
      <c r="B694" s="1">
        <v>39472</v>
      </c>
      <c r="C694" s="1">
        <v>39731</v>
      </c>
      <c r="D694" t="s">
        <v>25</v>
      </c>
      <c r="E694" t="b">
        <f>NOT(OR(ISBLANK(tblEmployee[[#This Row],[EndDate]]),tblEmployee[[#This Row],[EndDate]]-tblEmployee[[#This Row],[StartDate]]&gt;90))</f>
        <v>0</v>
      </c>
    </row>
    <row r="695" spans="1:5" x14ac:dyDescent="0.3">
      <c r="A695">
        <v>4884</v>
      </c>
      <c r="B695" s="1">
        <v>42241</v>
      </c>
      <c r="C695" s="1"/>
      <c r="E695" t="b">
        <f>NOT(OR(ISBLANK(tblEmployee[[#This Row],[EndDate]]),tblEmployee[[#This Row],[EndDate]]-tblEmployee[[#This Row],[StartDate]]&gt;90))</f>
        <v>0</v>
      </c>
    </row>
    <row r="696" spans="1:5" x14ac:dyDescent="0.3">
      <c r="A696">
        <v>4894</v>
      </c>
      <c r="B696" s="1">
        <v>42453</v>
      </c>
      <c r="C696" s="1">
        <v>44426</v>
      </c>
      <c r="D696" t="s">
        <v>26</v>
      </c>
      <c r="E696" t="b">
        <f>NOT(OR(ISBLANK(tblEmployee[[#This Row],[EndDate]]),tblEmployee[[#This Row],[EndDate]]-tblEmployee[[#This Row],[StartDate]]&gt;90))</f>
        <v>0</v>
      </c>
    </row>
    <row r="697" spans="1:5" x14ac:dyDescent="0.3">
      <c r="A697">
        <v>4895</v>
      </c>
      <c r="B697" s="1">
        <v>42045</v>
      </c>
      <c r="C697" s="1">
        <v>42085</v>
      </c>
      <c r="D697" t="s">
        <v>26</v>
      </c>
      <c r="E697" t="b">
        <f>NOT(OR(ISBLANK(tblEmployee[[#This Row],[EndDate]]),tblEmployee[[#This Row],[EndDate]]-tblEmployee[[#This Row],[StartDate]]&gt;90))</f>
        <v>1</v>
      </c>
    </row>
    <row r="698" spans="1:5" x14ac:dyDescent="0.3">
      <c r="A698">
        <v>4901</v>
      </c>
      <c r="B698" s="1">
        <v>39508</v>
      </c>
      <c r="C698" s="1"/>
      <c r="E698" t="b">
        <f>NOT(OR(ISBLANK(tblEmployee[[#This Row],[EndDate]]),tblEmployee[[#This Row],[EndDate]]-tblEmployee[[#This Row],[StartDate]]&gt;90))</f>
        <v>0</v>
      </c>
    </row>
    <row r="699" spans="1:5" x14ac:dyDescent="0.3">
      <c r="A699">
        <v>4909</v>
      </c>
      <c r="B699" s="1">
        <v>44026</v>
      </c>
      <c r="C699" s="1">
        <v>44551</v>
      </c>
      <c r="D699" t="s">
        <v>30</v>
      </c>
      <c r="E699" t="b">
        <f>NOT(OR(ISBLANK(tblEmployee[[#This Row],[EndDate]]),tblEmployee[[#This Row],[EndDate]]-tblEmployee[[#This Row],[StartDate]]&gt;90))</f>
        <v>0</v>
      </c>
    </row>
    <row r="700" spans="1:5" x14ac:dyDescent="0.3">
      <c r="A700">
        <v>4915</v>
      </c>
      <c r="B700" s="1">
        <v>37503</v>
      </c>
      <c r="C700" s="1"/>
      <c r="E700" t="b">
        <f>NOT(OR(ISBLANK(tblEmployee[[#This Row],[EndDate]]),tblEmployee[[#This Row],[EndDate]]-tblEmployee[[#This Row],[StartDate]]&gt;90))</f>
        <v>0</v>
      </c>
    </row>
    <row r="701" spans="1:5" x14ac:dyDescent="0.3">
      <c r="A701">
        <v>4920</v>
      </c>
      <c r="B701" s="1">
        <v>40817</v>
      </c>
      <c r="C701" s="1"/>
      <c r="E701" t="b">
        <f>NOT(OR(ISBLANK(tblEmployee[[#This Row],[EndDate]]),tblEmployee[[#This Row],[EndDate]]-tblEmployee[[#This Row],[StartDate]]&gt;90))</f>
        <v>0</v>
      </c>
    </row>
    <row r="702" spans="1:5" x14ac:dyDescent="0.3">
      <c r="A702">
        <v>4921</v>
      </c>
      <c r="B702" s="1">
        <v>39135</v>
      </c>
      <c r="C702" s="1"/>
      <c r="E702" t="b">
        <f>NOT(OR(ISBLANK(tblEmployee[[#This Row],[EndDate]]),tblEmployee[[#This Row],[EndDate]]-tblEmployee[[#This Row],[StartDate]]&gt;90))</f>
        <v>0</v>
      </c>
    </row>
    <row r="703" spans="1:5" x14ac:dyDescent="0.3">
      <c r="A703">
        <v>4929</v>
      </c>
      <c r="B703" s="1">
        <v>43378</v>
      </c>
      <c r="C703" s="1"/>
      <c r="E703" t="b">
        <f>NOT(OR(ISBLANK(tblEmployee[[#This Row],[EndDate]]),tblEmployee[[#This Row],[EndDate]]-tblEmployee[[#This Row],[StartDate]]&gt;90))</f>
        <v>0</v>
      </c>
    </row>
    <row r="704" spans="1:5" x14ac:dyDescent="0.3">
      <c r="A704">
        <v>4930</v>
      </c>
      <c r="B704" s="1">
        <v>42353</v>
      </c>
      <c r="C704" s="1"/>
      <c r="E704" t="b">
        <f>NOT(OR(ISBLANK(tblEmployee[[#This Row],[EndDate]]),tblEmployee[[#This Row],[EndDate]]-tblEmployee[[#This Row],[StartDate]]&gt;90))</f>
        <v>0</v>
      </c>
    </row>
    <row r="705" spans="1:5" x14ac:dyDescent="0.3">
      <c r="A705">
        <v>4936</v>
      </c>
      <c r="B705" s="1">
        <v>39799</v>
      </c>
      <c r="C705" s="1"/>
      <c r="E705" t="b">
        <f>NOT(OR(ISBLANK(tblEmployee[[#This Row],[EndDate]]),tblEmployee[[#This Row],[EndDate]]-tblEmployee[[#This Row],[StartDate]]&gt;90))</f>
        <v>0</v>
      </c>
    </row>
    <row r="706" spans="1:5" x14ac:dyDescent="0.3">
      <c r="A706">
        <v>4938</v>
      </c>
      <c r="B706" s="1">
        <v>39853</v>
      </c>
      <c r="C706" s="1"/>
      <c r="E706" t="b">
        <f>NOT(OR(ISBLANK(tblEmployee[[#This Row],[EndDate]]),tblEmployee[[#This Row],[EndDate]]-tblEmployee[[#This Row],[StartDate]]&gt;90))</f>
        <v>0</v>
      </c>
    </row>
    <row r="707" spans="1:5" x14ac:dyDescent="0.3">
      <c r="A707">
        <v>4941</v>
      </c>
      <c r="B707" s="1">
        <v>39492</v>
      </c>
      <c r="C707" s="1">
        <v>40624</v>
      </c>
      <c r="D707" t="s">
        <v>31</v>
      </c>
      <c r="E707" t="b">
        <f>NOT(OR(ISBLANK(tblEmployee[[#This Row],[EndDate]]),tblEmployee[[#This Row],[EndDate]]-tblEmployee[[#This Row],[StartDate]]&gt;90))</f>
        <v>0</v>
      </c>
    </row>
    <row r="708" spans="1:5" x14ac:dyDescent="0.3">
      <c r="A708">
        <v>4949</v>
      </c>
      <c r="B708" s="1">
        <v>41361</v>
      </c>
      <c r="C708" s="1"/>
      <c r="E708" t="b">
        <f>NOT(OR(ISBLANK(tblEmployee[[#This Row],[EndDate]]),tblEmployee[[#This Row],[EndDate]]-tblEmployee[[#This Row],[StartDate]]&gt;90))</f>
        <v>0</v>
      </c>
    </row>
    <row r="709" spans="1:5" x14ac:dyDescent="0.3">
      <c r="A709">
        <v>4953</v>
      </c>
      <c r="B709" s="1">
        <v>40699</v>
      </c>
      <c r="C709" s="1"/>
      <c r="E709" t="b">
        <f>NOT(OR(ISBLANK(tblEmployee[[#This Row],[EndDate]]),tblEmployee[[#This Row],[EndDate]]-tblEmployee[[#This Row],[StartDate]]&gt;90))</f>
        <v>0</v>
      </c>
    </row>
    <row r="710" spans="1:5" x14ac:dyDescent="0.3">
      <c r="A710">
        <v>4956</v>
      </c>
      <c r="B710" s="1">
        <v>43021</v>
      </c>
      <c r="C710" s="1"/>
      <c r="E710" t="b">
        <f>NOT(OR(ISBLANK(tblEmployee[[#This Row],[EndDate]]),tblEmployee[[#This Row],[EndDate]]-tblEmployee[[#This Row],[StartDate]]&gt;90))</f>
        <v>0</v>
      </c>
    </row>
    <row r="711" spans="1:5" x14ac:dyDescent="0.3">
      <c r="A711">
        <v>4970</v>
      </c>
      <c r="B711" s="1">
        <v>38875</v>
      </c>
      <c r="C711" s="1">
        <v>42356</v>
      </c>
      <c r="D711" t="s">
        <v>25</v>
      </c>
      <c r="E711" t="b">
        <f>NOT(OR(ISBLANK(tblEmployee[[#This Row],[EndDate]]),tblEmployee[[#This Row],[EndDate]]-tblEmployee[[#This Row],[StartDate]]&gt;90))</f>
        <v>0</v>
      </c>
    </row>
    <row r="712" spans="1:5" x14ac:dyDescent="0.3">
      <c r="A712">
        <v>4988</v>
      </c>
      <c r="B712" s="1">
        <v>39842</v>
      </c>
      <c r="C712" s="1"/>
      <c r="E712" t="b">
        <f>NOT(OR(ISBLANK(tblEmployee[[#This Row],[EndDate]]),tblEmployee[[#This Row],[EndDate]]-tblEmployee[[#This Row],[StartDate]]&gt;90))</f>
        <v>0</v>
      </c>
    </row>
    <row r="713" spans="1:5" x14ac:dyDescent="0.3">
      <c r="A713">
        <v>4994</v>
      </c>
      <c r="B713" s="1">
        <v>38961</v>
      </c>
      <c r="C713" s="1"/>
      <c r="E713" t="b">
        <f>NOT(OR(ISBLANK(tblEmployee[[#This Row],[EndDate]]),tblEmployee[[#This Row],[EndDate]]-tblEmployee[[#This Row],[StartDate]]&gt;90))</f>
        <v>0</v>
      </c>
    </row>
    <row r="714" spans="1:5" x14ac:dyDescent="0.3">
      <c r="A714">
        <v>5005</v>
      </c>
      <c r="B714" s="1">
        <v>38404</v>
      </c>
      <c r="C714" s="1"/>
      <c r="E714" t="b">
        <f>NOT(OR(ISBLANK(tblEmployee[[#This Row],[EndDate]]),tblEmployee[[#This Row],[EndDate]]-tblEmployee[[#This Row],[StartDate]]&gt;90))</f>
        <v>0</v>
      </c>
    </row>
    <row r="715" spans="1:5" x14ac:dyDescent="0.3">
      <c r="A715">
        <v>5007</v>
      </c>
      <c r="B715" s="1">
        <v>43096</v>
      </c>
      <c r="C715" s="1"/>
      <c r="E715" t="b">
        <f>NOT(OR(ISBLANK(tblEmployee[[#This Row],[EndDate]]),tblEmployee[[#This Row],[EndDate]]-tblEmployee[[#This Row],[StartDate]]&gt;90))</f>
        <v>0</v>
      </c>
    </row>
    <row r="716" spans="1:5" x14ac:dyDescent="0.3">
      <c r="A716">
        <v>5009</v>
      </c>
      <c r="B716" s="1">
        <v>42612</v>
      </c>
      <c r="C716" s="1"/>
      <c r="E716" t="b">
        <f>NOT(OR(ISBLANK(tblEmployee[[#This Row],[EndDate]]),tblEmployee[[#This Row],[EndDate]]-tblEmployee[[#This Row],[StartDate]]&gt;90))</f>
        <v>0</v>
      </c>
    </row>
    <row r="717" spans="1:5" x14ac:dyDescent="0.3">
      <c r="A717">
        <v>5010</v>
      </c>
      <c r="B717" s="1">
        <v>43215</v>
      </c>
      <c r="C717" s="1"/>
      <c r="E717" t="b">
        <f>NOT(OR(ISBLANK(tblEmployee[[#This Row],[EndDate]]),tblEmployee[[#This Row],[EndDate]]-tblEmployee[[#This Row],[StartDate]]&gt;90))</f>
        <v>0</v>
      </c>
    </row>
    <row r="718" spans="1:5" x14ac:dyDescent="0.3">
      <c r="A718">
        <v>5021</v>
      </c>
      <c r="B718" s="1">
        <v>39216</v>
      </c>
      <c r="C718" s="1"/>
      <c r="E718" t="b">
        <f>NOT(OR(ISBLANK(tblEmployee[[#This Row],[EndDate]]),tblEmployee[[#This Row],[EndDate]]-tblEmployee[[#This Row],[StartDate]]&gt;90))</f>
        <v>0</v>
      </c>
    </row>
    <row r="719" spans="1:5" x14ac:dyDescent="0.3">
      <c r="A719">
        <v>5022</v>
      </c>
      <c r="B719" s="1">
        <v>40225</v>
      </c>
      <c r="C719" s="1"/>
      <c r="E719" t="b">
        <f>NOT(OR(ISBLANK(tblEmployee[[#This Row],[EndDate]]),tblEmployee[[#This Row],[EndDate]]-tblEmployee[[#This Row],[StartDate]]&gt;90))</f>
        <v>0</v>
      </c>
    </row>
    <row r="720" spans="1:5" x14ac:dyDescent="0.3">
      <c r="A720">
        <v>5029</v>
      </c>
      <c r="B720" s="1">
        <v>39599</v>
      </c>
      <c r="C720" s="1"/>
      <c r="E720" t="b">
        <f>NOT(OR(ISBLANK(tblEmployee[[#This Row],[EndDate]]),tblEmployee[[#This Row],[EndDate]]-tblEmployee[[#This Row],[StartDate]]&gt;90))</f>
        <v>0</v>
      </c>
    </row>
    <row r="721" spans="1:5" x14ac:dyDescent="0.3">
      <c r="A721">
        <v>5030</v>
      </c>
      <c r="B721" s="1">
        <v>40010</v>
      </c>
      <c r="C721" s="1"/>
      <c r="E721" t="b">
        <f>NOT(OR(ISBLANK(tblEmployee[[#This Row],[EndDate]]),tblEmployee[[#This Row],[EndDate]]-tblEmployee[[#This Row],[StartDate]]&gt;90))</f>
        <v>0</v>
      </c>
    </row>
    <row r="722" spans="1:5" x14ac:dyDescent="0.3">
      <c r="A722">
        <v>5035</v>
      </c>
      <c r="B722" s="1">
        <v>42044</v>
      </c>
      <c r="C722" s="1"/>
      <c r="E722" t="b">
        <f>NOT(OR(ISBLANK(tblEmployee[[#This Row],[EndDate]]),tblEmployee[[#This Row],[EndDate]]-tblEmployee[[#This Row],[StartDate]]&gt;90))</f>
        <v>0</v>
      </c>
    </row>
    <row r="723" spans="1:5" x14ac:dyDescent="0.3">
      <c r="A723">
        <v>5058</v>
      </c>
      <c r="B723" s="1">
        <v>40357</v>
      </c>
      <c r="C723" s="1"/>
      <c r="E723" t="b">
        <f>NOT(OR(ISBLANK(tblEmployee[[#This Row],[EndDate]]),tblEmployee[[#This Row],[EndDate]]-tblEmployee[[#This Row],[StartDate]]&gt;90))</f>
        <v>0</v>
      </c>
    </row>
    <row r="724" spans="1:5" x14ac:dyDescent="0.3">
      <c r="A724">
        <v>5061</v>
      </c>
      <c r="B724" s="1">
        <v>37467</v>
      </c>
      <c r="C724" s="1"/>
      <c r="E724" t="b">
        <f>NOT(OR(ISBLANK(tblEmployee[[#This Row],[EndDate]]),tblEmployee[[#This Row],[EndDate]]-tblEmployee[[#This Row],[StartDate]]&gt;90))</f>
        <v>0</v>
      </c>
    </row>
    <row r="725" spans="1:5" x14ac:dyDescent="0.3">
      <c r="A725">
        <v>5062</v>
      </c>
      <c r="B725" s="1">
        <v>38228</v>
      </c>
      <c r="C725" s="1"/>
      <c r="E725" t="b">
        <f>NOT(OR(ISBLANK(tblEmployee[[#This Row],[EndDate]]),tblEmployee[[#This Row],[EndDate]]-tblEmployee[[#This Row],[StartDate]]&gt;90))</f>
        <v>0</v>
      </c>
    </row>
    <row r="726" spans="1:5" x14ac:dyDescent="0.3">
      <c r="A726">
        <v>5069</v>
      </c>
      <c r="B726" s="1">
        <v>39136</v>
      </c>
      <c r="C726" s="1"/>
      <c r="E726" t="b">
        <f>NOT(OR(ISBLANK(tblEmployee[[#This Row],[EndDate]]),tblEmployee[[#This Row],[EndDate]]-tblEmployee[[#This Row],[StartDate]]&gt;90))</f>
        <v>0</v>
      </c>
    </row>
    <row r="727" spans="1:5" x14ac:dyDescent="0.3">
      <c r="A727">
        <v>5070</v>
      </c>
      <c r="B727" s="1">
        <v>43825</v>
      </c>
      <c r="C727" s="1"/>
      <c r="E727" t="b">
        <f>NOT(OR(ISBLANK(tblEmployee[[#This Row],[EndDate]]),tblEmployee[[#This Row],[EndDate]]-tblEmployee[[#This Row],[StartDate]]&gt;90))</f>
        <v>0</v>
      </c>
    </row>
    <row r="728" spans="1:5" x14ac:dyDescent="0.3">
      <c r="A728">
        <v>5072</v>
      </c>
      <c r="B728" s="1">
        <v>38271</v>
      </c>
      <c r="C728" s="1">
        <v>43265</v>
      </c>
      <c r="D728" t="s">
        <v>26</v>
      </c>
      <c r="E728" t="b">
        <f>NOT(OR(ISBLANK(tblEmployee[[#This Row],[EndDate]]),tblEmployee[[#This Row],[EndDate]]-tblEmployee[[#This Row],[StartDate]]&gt;90))</f>
        <v>0</v>
      </c>
    </row>
    <row r="729" spans="1:5" x14ac:dyDescent="0.3">
      <c r="A729">
        <v>5075</v>
      </c>
      <c r="B729" s="1">
        <v>40206</v>
      </c>
      <c r="C729" s="1"/>
      <c r="E729" t="b">
        <f>NOT(OR(ISBLANK(tblEmployee[[#This Row],[EndDate]]),tblEmployee[[#This Row],[EndDate]]-tblEmployee[[#This Row],[StartDate]]&gt;90))</f>
        <v>0</v>
      </c>
    </row>
    <row r="730" spans="1:5" x14ac:dyDescent="0.3">
      <c r="A730">
        <v>5087</v>
      </c>
      <c r="B730" s="1">
        <v>38353</v>
      </c>
      <c r="C730" s="1"/>
      <c r="E730" t="b">
        <f>NOT(OR(ISBLANK(tblEmployee[[#This Row],[EndDate]]),tblEmployee[[#This Row],[EndDate]]-tblEmployee[[#This Row],[StartDate]]&gt;90))</f>
        <v>0</v>
      </c>
    </row>
    <row r="731" spans="1:5" x14ac:dyDescent="0.3">
      <c r="A731">
        <v>5107</v>
      </c>
      <c r="B731" s="1">
        <v>39131</v>
      </c>
      <c r="C731" s="1"/>
      <c r="E731" t="b">
        <f>NOT(OR(ISBLANK(tblEmployee[[#This Row],[EndDate]]),tblEmployee[[#This Row],[EndDate]]-tblEmployee[[#This Row],[StartDate]]&gt;90))</f>
        <v>0</v>
      </c>
    </row>
    <row r="732" spans="1:5" x14ac:dyDescent="0.3">
      <c r="A732">
        <v>5108</v>
      </c>
      <c r="B732" s="1">
        <v>42375</v>
      </c>
      <c r="C732" s="1"/>
      <c r="E732" t="b">
        <f>NOT(OR(ISBLANK(tblEmployee[[#This Row],[EndDate]]),tblEmployee[[#This Row],[EndDate]]-tblEmployee[[#This Row],[StartDate]]&gt;90))</f>
        <v>0</v>
      </c>
    </row>
    <row r="733" spans="1:5" x14ac:dyDescent="0.3">
      <c r="A733">
        <v>5110</v>
      </c>
      <c r="B733" s="1">
        <v>40757</v>
      </c>
      <c r="C733" s="1"/>
      <c r="E733" t="b">
        <f>NOT(OR(ISBLANK(tblEmployee[[#This Row],[EndDate]]),tblEmployee[[#This Row],[EndDate]]-tblEmployee[[#This Row],[StartDate]]&gt;90))</f>
        <v>0</v>
      </c>
    </row>
    <row r="734" spans="1:5" x14ac:dyDescent="0.3">
      <c r="A734">
        <v>5112</v>
      </c>
      <c r="B734" s="1">
        <v>40063</v>
      </c>
      <c r="C734" s="1"/>
      <c r="E734" t="b">
        <f>NOT(OR(ISBLANK(tblEmployee[[#This Row],[EndDate]]),tblEmployee[[#This Row],[EndDate]]-tblEmployee[[#This Row],[StartDate]]&gt;90))</f>
        <v>0</v>
      </c>
    </row>
    <row r="735" spans="1:5" x14ac:dyDescent="0.3">
      <c r="A735">
        <v>5121</v>
      </c>
      <c r="B735" s="1">
        <v>42005</v>
      </c>
      <c r="C735" s="1">
        <v>42595</v>
      </c>
      <c r="D735" t="s">
        <v>26</v>
      </c>
      <c r="E735" t="b">
        <f>NOT(OR(ISBLANK(tblEmployee[[#This Row],[EndDate]]),tblEmployee[[#This Row],[EndDate]]-tblEmployee[[#This Row],[StartDate]]&gt;90))</f>
        <v>0</v>
      </c>
    </row>
    <row r="736" spans="1:5" x14ac:dyDescent="0.3">
      <c r="A736">
        <v>5123</v>
      </c>
      <c r="B736" s="1">
        <v>40320</v>
      </c>
      <c r="C736" s="1">
        <v>40726</v>
      </c>
      <c r="D736" t="s">
        <v>30</v>
      </c>
      <c r="E736" t="b">
        <f>NOT(OR(ISBLANK(tblEmployee[[#This Row],[EndDate]]),tblEmployee[[#This Row],[EndDate]]-tblEmployee[[#This Row],[StartDate]]&gt;90))</f>
        <v>0</v>
      </c>
    </row>
    <row r="737" spans="1:5" x14ac:dyDescent="0.3">
      <c r="A737">
        <v>5128</v>
      </c>
      <c r="B737" s="1">
        <v>39124</v>
      </c>
      <c r="C737" s="1"/>
      <c r="E737" t="b">
        <f>NOT(OR(ISBLANK(tblEmployee[[#This Row],[EndDate]]),tblEmployee[[#This Row],[EndDate]]-tblEmployee[[#This Row],[StartDate]]&gt;90))</f>
        <v>0</v>
      </c>
    </row>
    <row r="738" spans="1:5" x14ac:dyDescent="0.3">
      <c r="A738">
        <v>5133</v>
      </c>
      <c r="B738" s="1">
        <v>39748</v>
      </c>
      <c r="C738" s="1"/>
      <c r="E738" t="b">
        <f>NOT(OR(ISBLANK(tblEmployee[[#This Row],[EndDate]]),tblEmployee[[#This Row],[EndDate]]-tblEmployee[[#This Row],[StartDate]]&gt;90))</f>
        <v>0</v>
      </c>
    </row>
    <row r="739" spans="1:5" x14ac:dyDescent="0.3">
      <c r="A739">
        <v>5136</v>
      </c>
      <c r="B739" s="1">
        <v>38533</v>
      </c>
      <c r="C739" s="1"/>
      <c r="E739" t="b">
        <f>NOT(OR(ISBLANK(tblEmployee[[#This Row],[EndDate]]),tblEmployee[[#This Row],[EndDate]]-tblEmployee[[#This Row],[StartDate]]&gt;90))</f>
        <v>0</v>
      </c>
    </row>
    <row r="740" spans="1:5" x14ac:dyDescent="0.3">
      <c r="A740">
        <v>5143</v>
      </c>
      <c r="B740" s="1">
        <v>38337</v>
      </c>
      <c r="C740" s="1"/>
      <c r="E740" t="b">
        <f>NOT(OR(ISBLANK(tblEmployee[[#This Row],[EndDate]]),tblEmployee[[#This Row],[EndDate]]-tblEmployee[[#This Row],[StartDate]]&gt;90))</f>
        <v>0</v>
      </c>
    </row>
    <row r="741" spans="1:5" x14ac:dyDescent="0.3">
      <c r="A741">
        <v>5144</v>
      </c>
      <c r="B741" s="1">
        <v>43982</v>
      </c>
      <c r="C741" s="1">
        <v>44357</v>
      </c>
      <c r="D741" t="s">
        <v>56</v>
      </c>
      <c r="E741" t="b">
        <f>NOT(OR(ISBLANK(tblEmployee[[#This Row],[EndDate]]),tblEmployee[[#This Row],[EndDate]]-tblEmployee[[#This Row],[StartDate]]&gt;90))</f>
        <v>0</v>
      </c>
    </row>
    <row r="742" spans="1:5" x14ac:dyDescent="0.3">
      <c r="A742">
        <v>5154</v>
      </c>
      <c r="B742" s="1">
        <v>42780</v>
      </c>
      <c r="C742" s="1"/>
      <c r="E742" t="b">
        <f>NOT(OR(ISBLANK(tblEmployee[[#This Row],[EndDate]]),tblEmployee[[#This Row],[EndDate]]-tblEmployee[[#This Row],[StartDate]]&gt;90))</f>
        <v>0</v>
      </c>
    </row>
    <row r="743" spans="1:5" x14ac:dyDescent="0.3">
      <c r="A743">
        <v>5155</v>
      </c>
      <c r="B743" s="1">
        <v>41751</v>
      </c>
      <c r="C743" s="1"/>
      <c r="E743" t="b">
        <f>NOT(OR(ISBLANK(tblEmployee[[#This Row],[EndDate]]),tblEmployee[[#This Row],[EndDate]]-tblEmployee[[#This Row],[StartDate]]&gt;90))</f>
        <v>0</v>
      </c>
    </row>
    <row r="744" spans="1:5" x14ac:dyDescent="0.3">
      <c r="A744">
        <v>5156</v>
      </c>
      <c r="B744" s="1">
        <v>40461</v>
      </c>
      <c r="C744" s="1"/>
      <c r="E744" t="b">
        <f>NOT(OR(ISBLANK(tblEmployee[[#This Row],[EndDate]]),tblEmployee[[#This Row],[EndDate]]-tblEmployee[[#This Row],[StartDate]]&gt;90))</f>
        <v>0</v>
      </c>
    </row>
    <row r="745" spans="1:5" x14ac:dyDescent="0.3">
      <c r="A745">
        <v>5162</v>
      </c>
      <c r="B745" s="1">
        <v>40767</v>
      </c>
      <c r="C745" s="1"/>
      <c r="E745" t="b">
        <f>NOT(OR(ISBLANK(tblEmployee[[#This Row],[EndDate]]),tblEmployee[[#This Row],[EndDate]]-tblEmployee[[#This Row],[StartDate]]&gt;90))</f>
        <v>0</v>
      </c>
    </row>
    <row r="746" spans="1:5" x14ac:dyDescent="0.3">
      <c r="A746">
        <v>5166</v>
      </c>
      <c r="B746" s="1">
        <v>41026</v>
      </c>
      <c r="C746" s="1"/>
      <c r="E746" t="b">
        <f>NOT(OR(ISBLANK(tblEmployee[[#This Row],[EndDate]]),tblEmployee[[#This Row],[EndDate]]-tblEmployee[[#This Row],[StartDate]]&gt;90))</f>
        <v>0</v>
      </c>
    </row>
    <row r="747" spans="1:5" x14ac:dyDescent="0.3">
      <c r="A747">
        <v>5172</v>
      </c>
      <c r="B747" s="1">
        <v>39129</v>
      </c>
      <c r="C747" s="1"/>
      <c r="E747" t="b">
        <f>NOT(OR(ISBLANK(tblEmployee[[#This Row],[EndDate]]),tblEmployee[[#This Row],[EndDate]]-tblEmployee[[#This Row],[StartDate]]&gt;90))</f>
        <v>0</v>
      </c>
    </row>
    <row r="748" spans="1:5" x14ac:dyDescent="0.3">
      <c r="A748">
        <v>5178</v>
      </c>
      <c r="B748" s="1">
        <v>38626</v>
      </c>
      <c r="C748" s="1">
        <v>41212</v>
      </c>
      <c r="D748" t="s">
        <v>30</v>
      </c>
      <c r="E748" t="b">
        <f>NOT(OR(ISBLANK(tblEmployee[[#This Row],[EndDate]]),tblEmployee[[#This Row],[EndDate]]-tblEmployee[[#This Row],[StartDate]]&gt;90))</f>
        <v>0</v>
      </c>
    </row>
    <row r="749" spans="1:5" x14ac:dyDescent="0.3">
      <c r="A749">
        <v>5184</v>
      </c>
      <c r="B749" s="1">
        <v>39583</v>
      </c>
      <c r="C749" s="1"/>
      <c r="E749" t="b">
        <f>NOT(OR(ISBLANK(tblEmployee[[#This Row],[EndDate]]),tblEmployee[[#This Row],[EndDate]]-tblEmployee[[#This Row],[StartDate]]&gt;90))</f>
        <v>0</v>
      </c>
    </row>
    <row r="750" spans="1:5" x14ac:dyDescent="0.3">
      <c r="A750">
        <v>5185</v>
      </c>
      <c r="B750" s="1">
        <v>41195</v>
      </c>
      <c r="C750" s="1"/>
      <c r="E750" t="b">
        <f>NOT(OR(ISBLANK(tblEmployee[[#This Row],[EndDate]]),tblEmployee[[#This Row],[EndDate]]-tblEmployee[[#This Row],[StartDate]]&gt;90))</f>
        <v>0</v>
      </c>
    </row>
    <row r="751" spans="1:5" x14ac:dyDescent="0.3">
      <c r="A751">
        <v>5188</v>
      </c>
      <c r="B751" s="1">
        <v>41033</v>
      </c>
      <c r="C751" s="1"/>
      <c r="E751" t="b">
        <f>NOT(OR(ISBLANK(tblEmployee[[#This Row],[EndDate]]),tblEmployee[[#This Row],[EndDate]]-tblEmployee[[#This Row],[StartDate]]&gt;90))</f>
        <v>0</v>
      </c>
    </row>
    <row r="752" spans="1:5" x14ac:dyDescent="0.3">
      <c r="A752">
        <v>5192</v>
      </c>
      <c r="B752" s="1">
        <v>37659</v>
      </c>
      <c r="C752" s="1"/>
      <c r="E752" t="b">
        <f>NOT(OR(ISBLANK(tblEmployee[[#This Row],[EndDate]]),tblEmployee[[#This Row],[EndDate]]-tblEmployee[[#This Row],[StartDate]]&gt;90))</f>
        <v>0</v>
      </c>
    </row>
    <row r="753" spans="1:5" x14ac:dyDescent="0.3">
      <c r="A753">
        <v>5200</v>
      </c>
      <c r="B753" s="1">
        <v>43077</v>
      </c>
      <c r="C753" s="1">
        <v>43491</v>
      </c>
      <c r="D753" t="s">
        <v>30</v>
      </c>
      <c r="E753" t="b">
        <f>NOT(OR(ISBLANK(tblEmployee[[#This Row],[EndDate]]),tblEmployee[[#This Row],[EndDate]]-tblEmployee[[#This Row],[StartDate]]&gt;90))</f>
        <v>0</v>
      </c>
    </row>
    <row r="754" spans="1:5" x14ac:dyDescent="0.3">
      <c r="A754">
        <v>5201</v>
      </c>
      <c r="B754" s="1">
        <v>40872</v>
      </c>
      <c r="C754" s="1"/>
      <c r="E754" t="b">
        <f>NOT(OR(ISBLANK(tblEmployee[[#This Row],[EndDate]]),tblEmployee[[#This Row],[EndDate]]-tblEmployee[[#This Row],[StartDate]]&gt;90))</f>
        <v>0</v>
      </c>
    </row>
    <row r="755" spans="1:5" x14ac:dyDescent="0.3">
      <c r="A755">
        <v>5202</v>
      </c>
      <c r="B755" s="1">
        <v>41296</v>
      </c>
      <c r="C755" s="1">
        <v>44074</v>
      </c>
      <c r="D755" t="s">
        <v>26</v>
      </c>
      <c r="E755" t="b">
        <f>NOT(OR(ISBLANK(tblEmployee[[#This Row],[EndDate]]),tblEmployee[[#This Row],[EndDate]]-tblEmployee[[#This Row],[StartDate]]&gt;90))</f>
        <v>0</v>
      </c>
    </row>
    <row r="756" spans="1:5" x14ac:dyDescent="0.3">
      <c r="A756">
        <v>5209</v>
      </c>
      <c r="B756" s="1">
        <v>41585</v>
      </c>
      <c r="C756" s="1"/>
      <c r="E756" t="b">
        <f>NOT(OR(ISBLANK(tblEmployee[[#This Row],[EndDate]]),tblEmployee[[#This Row],[EndDate]]-tblEmployee[[#This Row],[StartDate]]&gt;90))</f>
        <v>0</v>
      </c>
    </row>
    <row r="757" spans="1:5" x14ac:dyDescent="0.3">
      <c r="A757">
        <v>5210</v>
      </c>
      <c r="B757" s="1">
        <v>42895</v>
      </c>
      <c r="C757" s="1"/>
      <c r="E757" t="b">
        <f>NOT(OR(ISBLANK(tblEmployee[[#This Row],[EndDate]]),tblEmployee[[#This Row],[EndDate]]-tblEmployee[[#This Row],[StartDate]]&gt;90))</f>
        <v>0</v>
      </c>
    </row>
    <row r="758" spans="1:5" x14ac:dyDescent="0.3">
      <c r="A758">
        <v>5212</v>
      </c>
      <c r="B758" s="1">
        <v>40797</v>
      </c>
      <c r="C758" s="1"/>
      <c r="E758" t="b">
        <f>NOT(OR(ISBLANK(tblEmployee[[#This Row],[EndDate]]),tblEmployee[[#This Row],[EndDate]]-tblEmployee[[#This Row],[StartDate]]&gt;90))</f>
        <v>0</v>
      </c>
    </row>
    <row r="759" spans="1:5" x14ac:dyDescent="0.3">
      <c r="A759">
        <v>5218</v>
      </c>
      <c r="B759" s="1">
        <v>41089</v>
      </c>
      <c r="C759" s="1"/>
      <c r="E759" t="b">
        <f>NOT(OR(ISBLANK(tblEmployee[[#This Row],[EndDate]]),tblEmployee[[#This Row],[EndDate]]-tblEmployee[[#This Row],[StartDate]]&gt;90))</f>
        <v>0</v>
      </c>
    </row>
    <row r="760" spans="1:5" x14ac:dyDescent="0.3">
      <c r="A760">
        <v>5223</v>
      </c>
      <c r="B760" s="1">
        <v>38384</v>
      </c>
      <c r="C760" s="1"/>
      <c r="E760" t="b">
        <f>NOT(OR(ISBLANK(tblEmployee[[#This Row],[EndDate]]),tblEmployee[[#This Row],[EndDate]]-tblEmployee[[#This Row],[StartDate]]&gt;90))</f>
        <v>0</v>
      </c>
    </row>
    <row r="761" spans="1:5" x14ac:dyDescent="0.3">
      <c r="A761">
        <v>5225</v>
      </c>
      <c r="B761" s="1">
        <v>41336</v>
      </c>
      <c r="C761" s="1">
        <v>44284</v>
      </c>
      <c r="D761" t="s">
        <v>27</v>
      </c>
      <c r="E761" t="b">
        <f>NOT(OR(ISBLANK(tblEmployee[[#This Row],[EndDate]]),tblEmployee[[#This Row],[EndDate]]-tblEmployee[[#This Row],[StartDate]]&gt;90))</f>
        <v>0</v>
      </c>
    </row>
    <row r="762" spans="1:5" x14ac:dyDescent="0.3">
      <c r="A762">
        <v>5226</v>
      </c>
      <c r="B762" s="1">
        <v>42217</v>
      </c>
      <c r="C762" s="1"/>
      <c r="E762" t="b">
        <f>NOT(OR(ISBLANK(tblEmployee[[#This Row],[EndDate]]),tblEmployee[[#This Row],[EndDate]]-tblEmployee[[#This Row],[StartDate]]&gt;90))</f>
        <v>0</v>
      </c>
    </row>
    <row r="763" spans="1:5" x14ac:dyDescent="0.3">
      <c r="A763">
        <v>5229</v>
      </c>
      <c r="B763" s="1">
        <v>42058</v>
      </c>
      <c r="C763" s="1">
        <v>43871</v>
      </c>
      <c r="D763" t="s">
        <v>25</v>
      </c>
      <c r="E763" t="b">
        <f>NOT(OR(ISBLANK(tblEmployee[[#This Row],[EndDate]]),tblEmployee[[#This Row],[EndDate]]-tblEmployee[[#This Row],[StartDate]]&gt;90))</f>
        <v>0</v>
      </c>
    </row>
    <row r="764" spans="1:5" x14ac:dyDescent="0.3">
      <c r="A764">
        <v>5230</v>
      </c>
      <c r="B764" s="1">
        <v>39575</v>
      </c>
      <c r="C764" s="1"/>
      <c r="E764" t="b">
        <f>NOT(OR(ISBLANK(tblEmployee[[#This Row],[EndDate]]),tblEmployee[[#This Row],[EndDate]]-tblEmployee[[#This Row],[StartDate]]&gt;90))</f>
        <v>0</v>
      </c>
    </row>
    <row r="765" spans="1:5" x14ac:dyDescent="0.3">
      <c r="A765">
        <v>5242</v>
      </c>
      <c r="B765" s="1">
        <v>40355</v>
      </c>
      <c r="C765" s="1"/>
      <c r="E765" t="b">
        <f>NOT(OR(ISBLANK(tblEmployee[[#This Row],[EndDate]]),tblEmployee[[#This Row],[EndDate]]-tblEmployee[[#This Row],[StartDate]]&gt;90))</f>
        <v>0</v>
      </c>
    </row>
    <row r="766" spans="1:5" x14ac:dyDescent="0.3">
      <c r="A766">
        <v>5249</v>
      </c>
      <c r="B766" s="1">
        <v>41700</v>
      </c>
      <c r="C766" s="1"/>
      <c r="E766" t="b">
        <f>NOT(OR(ISBLANK(tblEmployee[[#This Row],[EndDate]]),tblEmployee[[#This Row],[EndDate]]-tblEmployee[[#This Row],[StartDate]]&gt;90))</f>
        <v>0</v>
      </c>
    </row>
    <row r="767" spans="1:5" x14ac:dyDescent="0.3">
      <c r="A767">
        <v>5263</v>
      </c>
      <c r="B767" s="1">
        <v>38402</v>
      </c>
      <c r="C767" s="1"/>
      <c r="E767" t="b">
        <f>NOT(OR(ISBLANK(tblEmployee[[#This Row],[EndDate]]),tblEmployee[[#This Row],[EndDate]]-tblEmployee[[#This Row],[StartDate]]&gt;90))</f>
        <v>0</v>
      </c>
    </row>
    <row r="768" spans="1:5" x14ac:dyDescent="0.3">
      <c r="A768">
        <v>5270</v>
      </c>
      <c r="B768" s="1">
        <v>43471</v>
      </c>
      <c r="C768" s="1"/>
      <c r="E768" t="b">
        <f>NOT(OR(ISBLANK(tblEmployee[[#This Row],[EndDate]]),tblEmployee[[#This Row],[EndDate]]-tblEmployee[[#This Row],[StartDate]]&gt;90))</f>
        <v>0</v>
      </c>
    </row>
    <row r="769" spans="1:5" x14ac:dyDescent="0.3">
      <c r="A769">
        <v>5272</v>
      </c>
      <c r="B769" s="1">
        <v>42606</v>
      </c>
      <c r="C769" s="1">
        <v>43683</v>
      </c>
      <c r="D769" t="s">
        <v>56</v>
      </c>
      <c r="E769" t="b">
        <f>NOT(OR(ISBLANK(tblEmployee[[#This Row],[EndDate]]),tblEmployee[[#This Row],[EndDate]]-tblEmployee[[#This Row],[StartDate]]&gt;90))</f>
        <v>0</v>
      </c>
    </row>
    <row r="770" spans="1:5" x14ac:dyDescent="0.3">
      <c r="A770">
        <v>5294</v>
      </c>
      <c r="B770" s="1">
        <v>43384</v>
      </c>
      <c r="C770" s="1"/>
      <c r="E770" t="b">
        <f>NOT(OR(ISBLANK(tblEmployee[[#This Row],[EndDate]]),tblEmployee[[#This Row],[EndDate]]-tblEmployee[[#This Row],[StartDate]]&gt;90))</f>
        <v>0</v>
      </c>
    </row>
    <row r="771" spans="1:5" x14ac:dyDescent="0.3">
      <c r="A771">
        <v>5302</v>
      </c>
      <c r="B771" s="1">
        <v>42229</v>
      </c>
      <c r="C771" s="1"/>
      <c r="E771" t="b">
        <f>NOT(OR(ISBLANK(tblEmployee[[#This Row],[EndDate]]),tblEmployee[[#This Row],[EndDate]]-tblEmployee[[#This Row],[StartDate]]&gt;90))</f>
        <v>0</v>
      </c>
    </row>
    <row r="772" spans="1:5" x14ac:dyDescent="0.3">
      <c r="A772">
        <v>5319</v>
      </c>
      <c r="B772" s="1">
        <v>43880</v>
      </c>
      <c r="C772" s="1"/>
      <c r="E772" t="b">
        <f>NOT(OR(ISBLANK(tblEmployee[[#This Row],[EndDate]]),tblEmployee[[#This Row],[EndDate]]-tblEmployee[[#This Row],[StartDate]]&gt;90))</f>
        <v>0</v>
      </c>
    </row>
    <row r="773" spans="1:5" x14ac:dyDescent="0.3">
      <c r="A773">
        <v>5324</v>
      </c>
      <c r="B773" s="1">
        <v>40781</v>
      </c>
      <c r="C773" s="1"/>
      <c r="E773" t="b">
        <f>NOT(OR(ISBLANK(tblEmployee[[#This Row],[EndDate]]),tblEmployee[[#This Row],[EndDate]]-tblEmployee[[#This Row],[StartDate]]&gt;90))</f>
        <v>0</v>
      </c>
    </row>
    <row r="774" spans="1:5" x14ac:dyDescent="0.3">
      <c r="A774">
        <v>5325</v>
      </c>
      <c r="B774" s="1">
        <v>39818</v>
      </c>
      <c r="C774" s="1"/>
      <c r="E774" t="b">
        <f>NOT(OR(ISBLANK(tblEmployee[[#This Row],[EndDate]]),tblEmployee[[#This Row],[EndDate]]-tblEmployee[[#This Row],[StartDate]]&gt;90))</f>
        <v>0</v>
      </c>
    </row>
    <row r="775" spans="1:5" x14ac:dyDescent="0.3">
      <c r="A775">
        <v>5341</v>
      </c>
      <c r="B775" s="1">
        <v>41277</v>
      </c>
      <c r="C775" s="1"/>
      <c r="E775" t="b">
        <f>NOT(OR(ISBLANK(tblEmployee[[#This Row],[EndDate]]),tblEmployee[[#This Row],[EndDate]]-tblEmployee[[#This Row],[StartDate]]&gt;90))</f>
        <v>0</v>
      </c>
    </row>
    <row r="776" spans="1:5" x14ac:dyDescent="0.3">
      <c r="A776">
        <v>5351</v>
      </c>
      <c r="B776" s="1">
        <v>43701</v>
      </c>
      <c r="C776" s="1">
        <v>44480</v>
      </c>
      <c r="D776" t="s">
        <v>56</v>
      </c>
      <c r="E776" t="b">
        <f>NOT(OR(ISBLANK(tblEmployee[[#This Row],[EndDate]]),tblEmployee[[#This Row],[EndDate]]-tblEmployee[[#This Row],[StartDate]]&gt;90))</f>
        <v>0</v>
      </c>
    </row>
    <row r="777" spans="1:5" x14ac:dyDescent="0.3">
      <c r="A777">
        <v>5361</v>
      </c>
      <c r="B777" s="1">
        <v>41051</v>
      </c>
      <c r="C777" s="1">
        <v>44079</v>
      </c>
      <c r="D777" t="s">
        <v>25</v>
      </c>
      <c r="E777" t="b">
        <f>NOT(OR(ISBLANK(tblEmployee[[#This Row],[EndDate]]),tblEmployee[[#This Row],[EndDate]]-tblEmployee[[#This Row],[StartDate]]&gt;90))</f>
        <v>0</v>
      </c>
    </row>
    <row r="778" spans="1:5" x14ac:dyDescent="0.3">
      <c r="A778">
        <v>5363</v>
      </c>
      <c r="B778" s="1">
        <v>41387</v>
      </c>
      <c r="C778" s="1"/>
      <c r="E778" t="b">
        <f>NOT(OR(ISBLANK(tblEmployee[[#This Row],[EndDate]]),tblEmployee[[#This Row],[EndDate]]-tblEmployee[[#This Row],[StartDate]]&gt;90))</f>
        <v>0</v>
      </c>
    </row>
    <row r="779" spans="1:5" x14ac:dyDescent="0.3">
      <c r="A779">
        <v>5375</v>
      </c>
      <c r="B779" s="1">
        <v>38822</v>
      </c>
      <c r="C779" s="1"/>
      <c r="E779" t="b">
        <f>NOT(OR(ISBLANK(tblEmployee[[#This Row],[EndDate]]),tblEmployee[[#This Row],[EndDate]]-tblEmployee[[#This Row],[StartDate]]&gt;90))</f>
        <v>0</v>
      </c>
    </row>
    <row r="780" spans="1:5" x14ac:dyDescent="0.3">
      <c r="A780">
        <v>5382</v>
      </c>
      <c r="B780" s="1">
        <v>37582</v>
      </c>
      <c r="C780" s="1"/>
      <c r="E780" t="b">
        <f>NOT(OR(ISBLANK(tblEmployee[[#This Row],[EndDate]]),tblEmployee[[#This Row],[EndDate]]-tblEmployee[[#This Row],[StartDate]]&gt;90))</f>
        <v>0</v>
      </c>
    </row>
    <row r="781" spans="1:5" x14ac:dyDescent="0.3">
      <c r="A781">
        <v>5397</v>
      </c>
      <c r="B781" s="1">
        <v>43482</v>
      </c>
      <c r="C781" s="1">
        <v>43656</v>
      </c>
      <c r="D781" t="s">
        <v>31</v>
      </c>
      <c r="E781" t="b">
        <f>NOT(OR(ISBLANK(tblEmployee[[#This Row],[EndDate]]),tblEmployee[[#This Row],[EndDate]]-tblEmployee[[#This Row],[StartDate]]&gt;90))</f>
        <v>0</v>
      </c>
    </row>
    <row r="782" spans="1:5" x14ac:dyDescent="0.3">
      <c r="A782">
        <v>5398</v>
      </c>
      <c r="B782" s="1">
        <v>38971</v>
      </c>
      <c r="C782" s="1">
        <v>43576</v>
      </c>
      <c r="D782" t="s">
        <v>56</v>
      </c>
      <c r="E782" t="b">
        <f>NOT(OR(ISBLANK(tblEmployee[[#This Row],[EndDate]]),tblEmployee[[#This Row],[EndDate]]-tblEmployee[[#This Row],[StartDate]]&gt;90))</f>
        <v>0</v>
      </c>
    </row>
    <row r="783" spans="1:5" x14ac:dyDescent="0.3">
      <c r="A783">
        <v>5408</v>
      </c>
      <c r="B783" s="1">
        <v>42200</v>
      </c>
      <c r="C783" s="1"/>
      <c r="E783" t="b">
        <f>NOT(OR(ISBLANK(tblEmployee[[#This Row],[EndDate]]),tblEmployee[[#This Row],[EndDate]]-tblEmployee[[#This Row],[StartDate]]&gt;90))</f>
        <v>0</v>
      </c>
    </row>
    <row r="784" spans="1:5" x14ac:dyDescent="0.3">
      <c r="A784">
        <v>5409</v>
      </c>
      <c r="B784" s="1">
        <v>43164</v>
      </c>
      <c r="C784" s="1"/>
      <c r="E784" t="b">
        <f>NOT(OR(ISBLANK(tblEmployee[[#This Row],[EndDate]]),tblEmployee[[#This Row],[EndDate]]-tblEmployee[[#This Row],[StartDate]]&gt;90))</f>
        <v>0</v>
      </c>
    </row>
    <row r="785" spans="1:5" x14ac:dyDescent="0.3">
      <c r="A785">
        <v>5414</v>
      </c>
      <c r="B785" s="1">
        <v>39577</v>
      </c>
      <c r="C785" s="1"/>
      <c r="E785" t="b">
        <f>NOT(OR(ISBLANK(tblEmployee[[#This Row],[EndDate]]),tblEmployee[[#This Row],[EndDate]]-tblEmployee[[#This Row],[StartDate]]&gt;90))</f>
        <v>0</v>
      </c>
    </row>
    <row r="786" spans="1:5" x14ac:dyDescent="0.3">
      <c r="A786">
        <v>5416</v>
      </c>
      <c r="B786" s="1">
        <v>42795</v>
      </c>
      <c r="C786" s="1">
        <v>43487</v>
      </c>
      <c r="D786" t="s">
        <v>29</v>
      </c>
      <c r="E786" t="b">
        <f>NOT(OR(ISBLANK(tblEmployee[[#This Row],[EndDate]]),tblEmployee[[#This Row],[EndDate]]-tblEmployee[[#This Row],[StartDate]]&gt;90))</f>
        <v>0</v>
      </c>
    </row>
    <row r="787" spans="1:5" x14ac:dyDescent="0.3">
      <c r="A787">
        <v>5428</v>
      </c>
      <c r="B787" s="1">
        <v>40874</v>
      </c>
      <c r="C787" s="1">
        <v>44257</v>
      </c>
      <c r="D787" t="s">
        <v>30</v>
      </c>
      <c r="E787" t="b">
        <f>NOT(OR(ISBLANK(tblEmployee[[#This Row],[EndDate]]),tblEmployee[[#This Row],[EndDate]]-tblEmployee[[#This Row],[StartDate]]&gt;90))</f>
        <v>0</v>
      </c>
    </row>
    <row r="788" spans="1:5" x14ac:dyDescent="0.3">
      <c r="A788">
        <v>5429</v>
      </c>
      <c r="B788" s="1">
        <v>38062</v>
      </c>
      <c r="C788" s="1"/>
      <c r="E788" t="b">
        <f>NOT(OR(ISBLANK(tblEmployee[[#This Row],[EndDate]]),tblEmployee[[#This Row],[EndDate]]-tblEmployee[[#This Row],[StartDate]]&gt;90))</f>
        <v>0</v>
      </c>
    </row>
    <row r="789" spans="1:5" x14ac:dyDescent="0.3">
      <c r="A789">
        <v>5435</v>
      </c>
      <c r="B789" s="1">
        <v>38566</v>
      </c>
      <c r="C789" s="1"/>
      <c r="E789" t="b">
        <f>NOT(OR(ISBLANK(tblEmployee[[#This Row],[EndDate]]),tblEmployee[[#This Row],[EndDate]]-tblEmployee[[#This Row],[StartDate]]&gt;90))</f>
        <v>0</v>
      </c>
    </row>
    <row r="790" spans="1:5" x14ac:dyDescent="0.3">
      <c r="A790">
        <v>5440</v>
      </c>
      <c r="B790" s="1">
        <v>37876</v>
      </c>
      <c r="C790" s="1"/>
      <c r="E790" t="b">
        <f>NOT(OR(ISBLANK(tblEmployee[[#This Row],[EndDate]]),tblEmployee[[#This Row],[EndDate]]-tblEmployee[[#This Row],[StartDate]]&gt;90))</f>
        <v>0</v>
      </c>
    </row>
    <row r="791" spans="1:5" x14ac:dyDescent="0.3">
      <c r="A791">
        <v>5441</v>
      </c>
      <c r="B791" s="1">
        <v>37584</v>
      </c>
      <c r="C791" s="1"/>
      <c r="E791" t="b">
        <f>NOT(OR(ISBLANK(tblEmployee[[#This Row],[EndDate]]),tblEmployee[[#This Row],[EndDate]]-tblEmployee[[#This Row],[StartDate]]&gt;90))</f>
        <v>0</v>
      </c>
    </row>
    <row r="792" spans="1:5" x14ac:dyDescent="0.3">
      <c r="A792">
        <v>5443</v>
      </c>
      <c r="B792" s="1">
        <v>37976</v>
      </c>
      <c r="C792" s="1">
        <v>42810</v>
      </c>
      <c r="D792" t="s">
        <v>30</v>
      </c>
      <c r="E792" t="b">
        <f>NOT(OR(ISBLANK(tblEmployee[[#This Row],[EndDate]]),tblEmployee[[#This Row],[EndDate]]-tblEmployee[[#This Row],[StartDate]]&gt;90))</f>
        <v>0</v>
      </c>
    </row>
    <row r="793" spans="1:5" x14ac:dyDescent="0.3">
      <c r="A793">
        <v>5449</v>
      </c>
      <c r="B793" s="1">
        <v>41907</v>
      </c>
      <c r="C793" s="1"/>
      <c r="E793" t="b">
        <f>NOT(OR(ISBLANK(tblEmployee[[#This Row],[EndDate]]),tblEmployee[[#This Row],[EndDate]]-tblEmployee[[#This Row],[StartDate]]&gt;90))</f>
        <v>0</v>
      </c>
    </row>
    <row r="794" spans="1:5" x14ac:dyDescent="0.3">
      <c r="A794">
        <v>5453</v>
      </c>
      <c r="B794" s="1">
        <v>40088</v>
      </c>
      <c r="C794" s="1"/>
      <c r="E794" t="b">
        <f>NOT(OR(ISBLANK(tblEmployee[[#This Row],[EndDate]]),tblEmployee[[#This Row],[EndDate]]-tblEmployee[[#This Row],[StartDate]]&gt;90))</f>
        <v>0</v>
      </c>
    </row>
    <row r="795" spans="1:5" x14ac:dyDescent="0.3">
      <c r="A795">
        <v>5456</v>
      </c>
      <c r="B795" s="1">
        <v>42240</v>
      </c>
      <c r="C795" s="1"/>
      <c r="E795" t="b">
        <f>NOT(OR(ISBLANK(tblEmployee[[#This Row],[EndDate]]),tblEmployee[[#This Row],[EndDate]]-tblEmployee[[#This Row],[StartDate]]&gt;90))</f>
        <v>0</v>
      </c>
    </row>
    <row r="796" spans="1:5" x14ac:dyDescent="0.3">
      <c r="A796">
        <v>5459</v>
      </c>
      <c r="B796" s="1">
        <v>43602</v>
      </c>
      <c r="C796" s="1"/>
      <c r="E796" t="b">
        <f>NOT(OR(ISBLANK(tblEmployee[[#This Row],[EndDate]]),tblEmployee[[#This Row],[EndDate]]-tblEmployee[[#This Row],[StartDate]]&gt;90))</f>
        <v>0</v>
      </c>
    </row>
    <row r="797" spans="1:5" x14ac:dyDescent="0.3">
      <c r="A797">
        <v>5465</v>
      </c>
      <c r="B797" s="1">
        <v>44043</v>
      </c>
      <c r="C797" s="1"/>
      <c r="E797" t="b">
        <f>NOT(OR(ISBLANK(tblEmployee[[#This Row],[EndDate]]),tblEmployee[[#This Row],[EndDate]]-tblEmployee[[#This Row],[StartDate]]&gt;90))</f>
        <v>0</v>
      </c>
    </row>
    <row r="798" spans="1:5" x14ac:dyDescent="0.3">
      <c r="A798">
        <v>5468</v>
      </c>
      <c r="B798" s="1">
        <v>38294</v>
      </c>
      <c r="C798" s="1"/>
      <c r="E798" t="b">
        <f>NOT(OR(ISBLANK(tblEmployee[[#This Row],[EndDate]]),tblEmployee[[#This Row],[EndDate]]-tblEmployee[[#This Row],[StartDate]]&gt;90))</f>
        <v>0</v>
      </c>
    </row>
    <row r="799" spans="1:5" x14ac:dyDescent="0.3">
      <c r="A799">
        <v>5473</v>
      </c>
      <c r="B799" s="1">
        <v>40861</v>
      </c>
      <c r="C799" s="1">
        <v>42115</v>
      </c>
      <c r="D799" t="s">
        <v>30</v>
      </c>
      <c r="E799" t="b">
        <f>NOT(OR(ISBLANK(tblEmployee[[#This Row],[EndDate]]),tblEmployee[[#This Row],[EndDate]]-tblEmployee[[#This Row],[StartDate]]&gt;90))</f>
        <v>0</v>
      </c>
    </row>
    <row r="800" spans="1:5" x14ac:dyDescent="0.3">
      <c r="A800">
        <v>5481</v>
      </c>
      <c r="B800" s="1">
        <v>39102</v>
      </c>
      <c r="C800" s="1"/>
      <c r="E800" t="b">
        <f>NOT(OR(ISBLANK(tblEmployee[[#This Row],[EndDate]]),tblEmployee[[#This Row],[EndDate]]-tblEmployee[[#This Row],[StartDate]]&gt;90))</f>
        <v>0</v>
      </c>
    </row>
    <row r="801" spans="1:5" x14ac:dyDescent="0.3">
      <c r="A801">
        <v>5486</v>
      </c>
      <c r="B801" s="1">
        <v>43784</v>
      </c>
      <c r="C801" s="1">
        <v>44450</v>
      </c>
      <c r="D801" t="s">
        <v>25</v>
      </c>
      <c r="E801" t="b">
        <f>NOT(OR(ISBLANK(tblEmployee[[#This Row],[EndDate]]),tblEmployee[[#This Row],[EndDate]]-tblEmployee[[#This Row],[StartDate]]&gt;90))</f>
        <v>0</v>
      </c>
    </row>
    <row r="802" spans="1:5" x14ac:dyDescent="0.3">
      <c r="A802">
        <v>5492</v>
      </c>
      <c r="B802" s="1">
        <v>43599</v>
      </c>
      <c r="C802" s="1">
        <v>44177</v>
      </c>
      <c r="D802" t="s">
        <v>56</v>
      </c>
      <c r="E802" t="b">
        <f>NOT(OR(ISBLANK(tblEmployee[[#This Row],[EndDate]]),tblEmployee[[#This Row],[EndDate]]-tblEmployee[[#This Row],[StartDate]]&gt;90))</f>
        <v>0</v>
      </c>
    </row>
    <row r="803" spans="1:5" x14ac:dyDescent="0.3">
      <c r="A803">
        <v>5493</v>
      </c>
      <c r="B803" s="1">
        <v>37425</v>
      </c>
      <c r="C803" s="1"/>
      <c r="E803" t="b">
        <f>NOT(OR(ISBLANK(tblEmployee[[#This Row],[EndDate]]),tblEmployee[[#This Row],[EndDate]]-tblEmployee[[#This Row],[StartDate]]&gt;90))</f>
        <v>0</v>
      </c>
    </row>
    <row r="804" spans="1:5" x14ac:dyDescent="0.3">
      <c r="A804">
        <v>5495</v>
      </c>
      <c r="B804" s="1">
        <v>44000</v>
      </c>
      <c r="C804" s="1"/>
      <c r="E804" t="b">
        <f>NOT(OR(ISBLANK(tblEmployee[[#This Row],[EndDate]]),tblEmployee[[#This Row],[EndDate]]-tblEmployee[[#This Row],[StartDate]]&gt;90))</f>
        <v>0</v>
      </c>
    </row>
    <row r="805" spans="1:5" x14ac:dyDescent="0.3">
      <c r="A805">
        <v>5496</v>
      </c>
      <c r="B805" s="1">
        <v>38374</v>
      </c>
      <c r="C805" s="1"/>
      <c r="E805" t="b">
        <f>NOT(OR(ISBLANK(tblEmployee[[#This Row],[EndDate]]),tblEmployee[[#This Row],[EndDate]]-tblEmployee[[#This Row],[StartDate]]&gt;90))</f>
        <v>0</v>
      </c>
    </row>
    <row r="806" spans="1:5" x14ac:dyDescent="0.3">
      <c r="A806">
        <v>5497</v>
      </c>
      <c r="B806" s="1">
        <v>43352</v>
      </c>
      <c r="C806" s="1"/>
      <c r="E806" t="b">
        <f>NOT(OR(ISBLANK(tblEmployee[[#This Row],[EndDate]]),tblEmployee[[#This Row],[EndDate]]-tblEmployee[[#This Row],[StartDate]]&gt;90))</f>
        <v>0</v>
      </c>
    </row>
    <row r="807" spans="1:5" x14ac:dyDescent="0.3">
      <c r="A807">
        <v>5500</v>
      </c>
      <c r="B807" s="1">
        <v>38059</v>
      </c>
      <c r="C807" s="1"/>
      <c r="E807" t="b">
        <f>NOT(OR(ISBLANK(tblEmployee[[#This Row],[EndDate]]),tblEmployee[[#This Row],[EndDate]]-tblEmployee[[#This Row],[StartDate]]&gt;90))</f>
        <v>0</v>
      </c>
    </row>
    <row r="808" spans="1:5" x14ac:dyDescent="0.3">
      <c r="A808">
        <v>5522</v>
      </c>
      <c r="B808" s="1">
        <v>43029</v>
      </c>
      <c r="C808" s="1"/>
      <c r="E808" t="b">
        <f>NOT(OR(ISBLANK(tblEmployee[[#This Row],[EndDate]]),tblEmployee[[#This Row],[EndDate]]-tblEmployee[[#This Row],[StartDate]]&gt;90))</f>
        <v>0</v>
      </c>
    </row>
    <row r="809" spans="1:5" x14ac:dyDescent="0.3">
      <c r="A809">
        <v>5528</v>
      </c>
      <c r="B809" s="1">
        <v>40560</v>
      </c>
      <c r="C809" s="1"/>
      <c r="E809" t="b">
        <f>NOT(OR(ISBLANK(tblEmployee[[#This Row],[EndDate]]),tblEmployee[[#This Row],[EndDate]]-tblEmployee[[#This Row],[StartDate]]&gt;90))</f>
        <v>0</v>
      </c>
    </row>
    <row r="810" spans="1:5" x14ac:dyDescent="0.3">
      <c r="A810">
        <v>5530</v>
      </c>
      <c r="B810" s="1">
        <v>41901</v>
      </c>
      <c r="C810" s="1">
        <v>43930</v>
      </c>
      <c r="D810" t="s">
        <v>56</v>
      </c>
      <c r="E810" t="b">
        <f>NOT(OR(ISBLANK(tblEmployee[[#This Row],[EndDate]]),tblEmployee[[#This Row],[EndDate]]-tblEmployee[[#This Row],[StartDate]]&gt;90))</f>
        <v>0</v>
      </c>
    </row>
    <row r="811" spans="1:5" x14ac:dyDescent="0.3">
      <c r="A811">
        <v>5540</v>
      </c>
      <c r="B811" s="1">
        <v>39322</v>
      </c>
      <c r="C811" s="1"/>
      <c r="E811" t="b">
        <f>NOT(OR(ISBLANK(tblEmployee[[#This Row],[EndDate]]),tblEmployee[[#This Row],[EndDate]]-tblEmployee[[#This Row],[StartDate]]&gt;90))</f>
        <v>0</v>
      </c>
    </row>
    <row r="812" spans="1:5" x14ac:dyDescent="0.3">
      <c r="A812">
        <v>5546</v>
      </c>
      <c r="B812" s="1">
        <v>42543</v>
      </c>
      <c r="C812" s="1"/>
      <c r="E812" t="b">
        <f>NOT(OR(ISBLANK(tblEmployee[[#This Row],[EndDate]]),tblEmployee[[#This Row],[EndDate]]-tblEmployee[[#This Row],[StartDate]]&gt;90))</f>
        <v>0</v>
      </c>
    </row>
    <row r="813" spans="1:5" x14ac:dyDescent="0.3">
      <c r="A813">
        <v>5552</v>
      </c>
      <c r="B813" s="1">
        <v>39995</v>
      </c>
      <c r="C813" s="1">
        <v>40702</v>
      </c>
      <c r="D813" t="s">
        <v>30</v>
      </c>
      <c r="E813" t="b">
        <f>NOT(OR(ISBLANK(tblEmployee[[#This Row],[EndDate]]),tblEmployee[[#This Row],[EndDate]]-tblEmployee[[#This Row],[StartDate]]&gt;90))</f>
        <v>0</v>
      </c>
    </row>
    <row r="814" spans="1:5" x14ac:dyDescent="0.3">
      <c r="A814">
        <v>5554</v>
      </c>
      <c r="B814" s="1">
        <v>38009</v>
      </c>
      <c r="C814" s="1"/>
      <c r="E814" t="b">
        <f>NOT(OR(ISBLANK(tblEmployee[[#This Row],[EndDate]]),tblEmployee[[#This Row],[EndDate]]-tblEmployee[[#This Row],[StartDate]]&gt;90))</f>
        <v>0</v>
      </c>
    </row>
    <row r="815" spans="1:5" x14ac:dyDescent="0.3">
      <c r="A815">
        <v>5555</v>
      </c>
      <c r="B815" s="1">
        <v>38566</v>
      </c>
      <c r="C815" s="1"/>
      <c r="E815" t="b">
        <f>NOT(OR(ISBLANK(tblEmployee[[#This Row],[EndDate]]),tblEmployee[[#This Row],[EndDate]]-tblEmployee[[#This Row],[StartDate]]&gt;90))</f>
        <v>0</v>
      </c>
    </row>
    <row r="816" spans="1:5" x14ac:dyDescent="0.3">
      <c r="A816">
        <v>5560</v>
      </c>
      <c r="B816" s="1">
        <v>43616</v>
      </c>
      <c r="C816" s="1"/>
      <c r="E816" t="b">
        <f>NOT(OR(ISBLANK(tblEmployee[[#This Row],[EndDate]]),tblEmployee[[#This Row],[EndDate]]-tblEmployee[[#This Row],[StartDate]]&gt;90))</f>
        <v>0</v>
      </c>
    </row>
    <row r="817" spans="1:5" x14ac:dyDescent="0.3">
      <c r="A817">
        <v>5569</v>
      </c>
      <c r="B817" s="1">
        <v>43620</v>
      </c>
      <c r="C817" s="1"/>
      <c r="E817" t="b">
        <f>NOT(OR(ISBLANK(tblEmployee[[#This Row],[EndDate]]),tblEmployee[[#This Row],[EndDate]]-tblEmployee[[#This Row],[StartDate]]&gt;90))</f>
        <v>0</v>
      </c>
    </row>
    <row r="818" spans="1:5" x14ac:dyDescent="0.3">
      <c r="A818">
        <v>5573</v>
      </c>
      <c r="B818" s="1">
        <v>42093</v>
      </c>
      <c r="C818" s="1"/>
      <c r="E818" t="b">
        <f>NOT(OR(ISBLANK(tblEmployee[[#This Row],[EndDate]]),tblEmployee[[#This Row],[EndDate]]-tblEmployee[[#This Row],[StartDate]]&gt;90))</f>
        <v>0</v>
      </c>
    </row>
    <row r="819" spans="1:5" x14ac:dyDescent="0.3">
      <c r="A819">
        <v>5580</v>
      </c>
      <c r="B819" s="1">
        <v>42491</v>
      </c>
      <c r="C819" s="1">
        <v>42599</v>
      </c>
      <c r="D819" t="s">
        <v>56</v>
      </c>
      <c r="E819" t="b">
        <f>NOT(OR(ISBLANK(tblEmployee[[#This Row],[EndDate]]),tblEmployee[[#This Row],[EndDate]]-tblEmployee[[#This Row],[StartDate]]&gt;90))</f>
        <v>0</v>
      </c>
    </row>
    <row r="820" spans="1:5" x14ac:dyDescent="0.3">
      <c r="A820">
        <v>5581</v>
      </c>
      <c r="B820" s="1">
        <v>38086</v>
      </c>
      <c r="C820" s="1"/>
      <c r="E820" t="b">
        <f>NOT(OR(ISBLANK(tblEmployee[[#This Row],[EndDate]]),tblEmployee[[#This Row],[EndDate]]-tblEmployee[[#This Row],[StartDate]]&gt;90))</f>
        <v>0</v>
      </c>
    </row>
    <row r="821" spans="1:5" x14ac:dyDescent="0.3">
      <c r="A821">
        <v>5582</v>
      </c>
      <c r="B821" s="1">
        <v>39676</v>
      </c>
      <c r="C821" s="1"/>
      <c r="E821" t="b">
        <f>NOT(OR(ISBLANK(tblEmployee[[#This Row],[EndDate]]),tblEmployee[[#This Row],[EndDate]]-tblEmployee[[#This Row],[StartDate]]&gt;90))</f>
        <v>0</v>
      </c>
    </row>
    <row r="822" spans="1:5" x14ac:dyDescent="0.3">
      <c r="A822">
        <v>5587</v>
      </c>
      <c r="B822" s="1">
        <v>41181</v>
      </c>
      <c r="C822" s="1"/>
      <c r="E822" t="b">
        <f>NOT(OR(ISBLANK(tblEmployee[[#This Row],[EndDate]]),tblEmployee[[#This Row],[EndDate]]-tblEmployee[[#This Row],[StartDate]]&gt;90))</f>
        <v>0</v>
      </c>
    </row>
    <row r="823" spans="1:5" x14ac:dyDescent="0.3">
      <c r="A823">
        <v>5590</v>
      </c>
      <c r="B823" s="1">
        <v>42997</v>
      </c>
      <c r="C823" s="1"/>
      <c r="E823" t="b">
        <f>NOT(OR(ISBLANK(tblEmployee[[#This Row],[EndDate]]),tblEmployee[[#This Row],[EndDate]]-tblEmployee[[#This Row],[StartDate]]&gt;90))</f>
        <v>0</v>
      </c>
    </row>
    <row r="824" spans="1:5" x14ac:dyDescent="0.3">
      <c r="A824">
        <v>5596</v>
      </c>
      <c r="B824" s="1">
        <v>43307</v>
      </c>
      <c r="C824" s="1"/>
      <c r="E824" t="b">
        <f>NOT(OR(ISBLANK(tblEmployee[[#This Row],[EndDate]]),tblEmployee[[#This Row],[EndDate]]-tblEmployee[[#This Row],[StartDate]]&gt;90))</f>
        <v>0</v>
      </c>
    </row>
    <row r="825" spans="1:5" x14ac:dyDescent="0.3">
      <c r="A825">
        <v>5609</v>
      </c>
      <c r="B825" s="1">
        <v>41734</v>
      </c>
      <c r="C825" s="1"/>
      <c r="E825" t="b">
        <f>NOT(OR(ISBLANK(tblEmployee[[#This Row],[EndDate]]),tblEmployee[[#This Row],[EndDate]]-tblEmployee[[#This Row],[StartDate]]&gt;90))</f>
        <v>0</v>
      </c>
    </row>
    <row r="826" spans="1:5" x14ac:dyDescent="0.3">
      <c r="A826">
        <v>5614</v>
      </c>
      <c r="B826" s="1">
        <v>43157</v>
      </c>
      <c r="C826" s="1">
        <v>44347</v>
      </c>
      <c r="D826" t="s">
        <v>27</v>
      </c>
      <c r="E826" t="b">
        <f>NOT(OR(ISBLANK(tblEmployee[[#This Row],[EndDate]]),tblEmployee[[#This Row],[EndDate]]-tblEmployee[[#This Row],[StartDate]]&gt;90))</f>
        <v>0</v>
      </c>
    </row>
    <row r="827" spans="1:5" x14ac:dyDescent="0.3">
      <c r="A827">
        <v>5616</v>
      </c>
      <c r="B827" s="1">
        <v>39338</v>
      </c>
      <c r="C827" s="1">
        <v>42494</v>
      </c>
      <c r="D827" t="s">
        <v>29</v>
      </c>
      <c r="E827" t="b">
        <f>NOT(OR(ISBLANK(tblEmployee[[#This Row],[EndDate]]),tblEmployee[[#This Row],[EndDate]]-tblEmployee[[#This Row],[StartDate]]&gt;90))</f>
        <v>0</v>
      </c>
    </row>
    <row r="828" spans="1:5" x14ac:dyDescent="0.3">
      <c r="A828">
        <v>5623</v>
      </c>
      <c r="B828" s="1">
        <v>42689</v>
      </c>
      <c r="C828" s="1"/>
      <c r="E828" t="b">
        <f>NOT(OR(ISBLANK(tblEmployee[[#This Row],[EndDate]]),tblEmployee[[#This Row],[EndDate]]-tblEmployee[[#This Row],[StartDate]]&gt;90))</f>
        <v>0</v>
      </c>
    </row>
    <row r="829" spans="1:5" x14ac:dyDescent="0.3">
      <c r="A829">
        <v>5628</v>
      </c>
      <c r="B829" s="1">
        <v>41282</v>
      </c>
      <c r="C829" s="1"/>
      <c r="E829" t="b">
        <f>NOT(OR(ISBLANK(tblEmployee[[#This Row],[EndDate]]),tblEmployee[[#This Row],[EndDate]]-tblEmployee[[#This Row],[StartDate]]&gt;90))</f>
        <v>0</v>
      </c>
    </row>
    <row r="830" spans="1:5" x14ac:dyDescent="0.3">
      <c r="A830">
        <v>5642</v>
      </c>
      <c r="B830" s="1">
        <v>40769</v>
      </c>
      <c r="C830" s="1">
        <v>43808</v>
      </c>
      <c r="D830" t="s">
        <v>26</v>
      </c>
      <c r="E830" t="b">
        <f>NOT(OR(ISBLANK(tblEmployee[[#This Row],[EndDate]]),tblEmployee[[#This Row],[EndDate]]-tblEmployee[[#This Row],[StartDate]]&gt;90))</f>
        <v>0</v>
      </c>
    </row>
    <row r="831" spans="1:5" x14ac:dyDescent="0.3">
      <c r="A831">
        <v>5644</v>
      </c>
      <c r="B831" s="1">
        <v>39322</v>
      </c>
      <c r="C831" s="1">
        <v>41115</v>
      </c>
      <c r="D831" t="s">
        <v>27</v>
      </c>
      <c r="E831" t="b">
        <f>NOT(OR(ISBLANK(tblEmployee[[#This Row],[EndDate]]),tblEmployee[[#This Row],[EndDate]]-tblEmployee[[#This Row],[StartDate]]&gt;90))</f>
        <v>0</v>
      </c>
    </row>
    <row r="832" spans="1:5" x14ac:dyDescent="0.3">
      <c r="A832">
        <v>5654</v>
      </c>
      <c r="B832" s="1">
        <v>38169</v>
      </c>
      <c r="C832" s="1"/>
      <c r="E832" t="b">
        <f>NOT(OR(ISBLANK(tblEmployee[[#This Row],[EndDate]]),tblEmployee[[#This Row],[EndDate]]-tblEmployee[[#This Row],[StartDate]]&gt;90))</f>
        <v>0</v>
      </c>
    </row>
    <row r="833" spans="1:5" x14ac:dyDescent="0.3">
      <c r="A833">
        <v>5655</v>
      </c>
      <c r="B833" s="1">
        <v>44084</v>
      </c>
      <c r="C833" s="1"/>
      <c r="E833" t="b">
        <f>NOT(OR(ISBLANK(tblEmployee[[#This Row],[EndDate]]),tblEmployee[[#This Row],[EndDate]]-tblEmployee[[#This Row],[StartDate]]&gt;90))</f>
        <v>0</v>
      </c>
    </row>
    <row r="834" spans="1:5" x14ac:dyDescent="0.3">
      <c r="A834">
        <v>5656</v>
      </c>
      <c r="B834" s="1">
        <v>38637</v>
      </c>
      <c r="C834" s="1"/>
      <c r="E834" t="b">
        <f>NOT(OR(ISBLANK(tblEmployee[[#This Row],[EndDate]]),tblEmployee[[#This Row],[EndDate]]-tblEmployee[[#This Row],[StartDate]]&gt;90))</f>
        <v>0</v>
      </c>
    </row>
    <row r="835" spans="1:5" x14ac:dyDescent="0.3">
      <c r="A835">
        <v>5659</v>
      </c>
      <c r="B835" s="1">
        <v>43301</v>
      </c>
      <c r="C835" s="1"/>
      <c r="E835" t="b">
        <f>NOT(OR(ISBLANK(tblEmployee[[#This Row],[EndDate]]),tblEmployee[[#This Row],[EndDate]]-tblEmployee[[#This Row],[StartDate]]&gt;90))</f>
        <v>0</v>
      </c>
    </row>
    <row r="836" spans="1:5" x14ac:dyDescent="0.3">
      <c r="A836">
        <v>5662</v>
      </c>
      <c r="B836" s="1">
        <v>40671</v>
      </c>
      <c r="C836" s="1"/>
      <c r="E836" t="b">
        <f>NOT(OR(ISBLANK(tblEmployee[[#This Row],[EndDate]]),tblEmployee[[#This Row],[EndDate]]-tblEmployee[[#This Row],[StartDate]]&gt;90))</f>
        <v>0</v>
      </c>
    </row>
    <row r="837" spans="1:5" x14ac:dyDescent="0.3">
      <c r="A837">
        <v>5668</v>
      </c>
      <c r="B837" s="1">
        <v>43002</v>
      </c>
      <c r="C837" s="1"/>
      <c r="E837" t="b">
        <f>NOT(OR(ISBLANK(tblEmployee[[#This Row],[EndDate]]),tblEmployee[[#This Row],[EndDate]]-tblEmployee[[#This Row],[StartDate]]&gt;90))</f>
        <v>0</v>
      </c>
    </row>
    <row r="838" spans="1:5" x14ac:dyDescent="0.3">
      <c r="A838">
        <v>5695</v>
      </c>
      <c r="B838" s="1">
        <v>43395</v>
      </c>
      <c r="C838" s="1"/>
      <c r="E838" t="b">
        <f>NOT(OR(ISBLANK(tblEmployee[[#This Row],[EndDate]]),tblEmployee[[#This Row],[EndDate]]-tblEmployee[[#This Row],[StartDate]]&gt;90))</f>
        <v>0</v>
      </c>
    </row>
    <row r="839" spans="1:5" x14ac:dyDescent="0.3">
      <c r="A839">
        <v>5704</v>
      </c>
      <c r="B839" s="1">
        <v>38879</v>
      </c>
      <c r="C839" s="1">
        <v>41744</v>
      </c>
      <c r="D839" t="s">
        <v>27</v>
      </c>
      <c r="E839" t="b">
        <f>NOT(OR(ISBLANK(tblEmployee[[#This Row],[EndDate]]),tblEmployee[[#This Row],[EndDate]]-tblEmployee[[#This Row],[StartDate]]&gt;90))</f>
        <v>0</v>
      </c>
    </row>
    <row r="840" spans="1:5" x14ac:dyDescent="0.3">
      <c r="A840">
        <v>5705</v>
      </c>
      <c r="B840" s="1">
        <v>37518</v>
      </c>
      <c r="C840" s="1"/>
      <c r="E840" t="b">
        <f>NOT(OR(ISBLANK(tblEmployee[[#This Row],[EndDate]]),tblEmployee[[#This Row],[EndDate]]-tblEmployee[[#This Row],[StartDate]]&gt;90))</f>
        <v>0</v>
      </c>
    </row>
    <row r="841" spans="1:5" x14ac:dyDescent="0.3">
      <c r="A841">
        <v>5708</v>
      </c>
      <c r="B841" s="1">
        <v>39763</v>
      </c>
      <c r="C841" s="1">
        <v>44476</v>
      </c>
      <c r="D841" t="s">
        <v>25</v>
      </c>
      <c r="E841" t="b">
        <f>NOT(OR(ISBLANK(tblEmployee[[#This Row],[EndDate]]),tblEmployee[[#This Row],[EndDate]]-tblEmployee[[#This Row],[StartDate]]&gt;90))</f>
        <v>0</v>
      </c>
    </row>
    <row r="842" spans="1:5" x14ac:dyDescent="0.3">
      <c r="A842">
        <v>5714</v>
      </c>
      <c r="B842" s="1">
        <v>37333</v>
      </c>
      <c r="C842" s="1"/>
      <c r="E842" t="b">
        <f>NOT(OR(ISBLANK(tblEmployee[[#This Row],[EndDate]]),tblEmployee[[#This Row],[EndDate]]-tblEmployee[[#This Row],[StartDate]]&gt;90))</f>
        <v>0</v>
      </c>
    </row>
    <row r="843" spans="1:5" x14ac:dyDescent="0.3">
      <c r="A843">
        <v>5715</v>
      </c>
      <c r="B843" s="1">
        <v>40209</v>
      </c>
      <c r="C843" s="1">
        <v>41392</v>
      </c>
      <c r="D843" t="s">
        <v>26</v>
      </c>
      <c r="E843" t="b">
        <f>NOT(OR(ISBLANK(tblEmployee[[#This Row],[EndDate]]),tblEmployee[[#This Row],[EndDate]]-tblEmployee[[#This Row],[StartDate]]&gt;90))</f>
        <v>0</v>
      </c>
    </row>
    <row r="844" spans="1:5" x14ac:dyDescent="0.3">
      <c r="A844">
        <v>5721</v>
      </c>
      <c r="B844" s="1">
        <v>43399</v>
      </c>
      <c r="C844" s="1"/>
      <c r="E844" t="b">
        <f>NOT(OR(ISBLANK(tblEmployee[[#This Row],[EndDate]]),tblEmployee[[#This Row],[EndDate]]-tblEmployee[[#This Row],[StartDate]]&gt;90))</f>
        <v>0</v>
      </c>
    </row>
    <row r="845" spans="1:5" x14ac:dyDescent="0.3">
      <c r="A845">
        <v>5739</v>
      </c>
      <c r="B845" s="1">
        <v>39230</v>
      </c>
      <c r="C845" s="1"/>
      <c r="E845" t="b">
        <f>NOT(OR(ISBLANK(tblEmployee[[#This Row],[EndDate]]),tblEmployee[[#This Row],[EndDate]]-tblEmployee[[#This Row],[StartDate]]&gt;90))</f>
        <v>0</v>
      </c>
    </row>
    <row r="846" spans="1:5" x14ac:dyDescent="0.3">
      <c r="A846">
        <v>5740</v>
      </c>
      <c r="B846" s="1">
        <v>38999</v>
      </c>
      <c r="C846" s="1"/>
      <c r="E846" t="b">
        <f>NOT(OR(ISBLANK(tblEmployee[[#This Row],[EndDate]]),tblEmployee[[#This Row],[EndDate]]-tblEmployee[[#This Row],[StartDate]]&gt;90))</f>
        <v>0</v>
      </c>
    </row>
    <row r="847" spans="1:5" x14ac:dyDescent="0.3">
      <c r="A847">
        <v>5754</v>
      </c>
      <c r="B847" s="1">
        <v>39699</v>
      </c>
      <c r="C847" s="1"/>
      <c r="E847" t="b">
        <f>NOT(OR(ISBLANK(tblEmployee[[#This Row],[EndDate]]),tblEmployee[[#This Row],[EndDate]]-tblEmployee[[#This Row],[StartDate]]&gt;90))</f>
        <v>0</v>
      </c>
    </row>
    <row r="848" spans="1:5" x14ac:dyDescent="0.3">
      <c r="A848">
        <v>5760</v>
      </c>
      <c r="B848" s="1">
        <v>39274</v>
      </c>
      <c r="C848" s="1"/>
      <c r="E848" t="b">
        <f>NOT(OR(ISBLANK(tblEmployee[[#This Row],[EndDate]]),tblEmployee[[#This Row],[EndDate]]-tblEmployee[[#This Row],[StartDate]]&gt;90))</f>
        <v>0</v>
      </c>
    </row>
    <row r="849" spans="1:5" x14ac:dyDescent="0.3">
      <c r="A849">
        <v>5768</v>
      </c>
      <c r="B849" s="1">
        <v>38950</v>
      </c>
      <c r="C849" s="1"/>
      <c r="E849" t="b">
        <f>NOT(OR(ISBLANK(tblEmployee[[#This Row],[EndDate]]),tblEmployee[[#This Row],[EndDate]]-tblEmployee[[#This Row],[StartDate]]&gt;90))</f>
        <v>0</v>
      </c>
    </row>
    <row r="850" spans="1:5" x14ac:dyDescent="0.3">
      <c r="A850">
        <v>5771</v>
      </c>
      <c r="B850" s="1">
        <v>41493</v>
      </c>
      <c r="C850" s="1"/>
      <c r="E850" t="b">
        <f>NOT(OR(ISBLANK(tblEmployee[[#This Row],[EndDate]]),tblEmployee[[#This Row],[EndDate]]-tblEmployee[[#This Row],[StartDate]]&gt;90))</f>
        <v>0</v>
      </c>
    </row>
    <row r="851" spans="1:5" x14ac:dyDescent="0.3">
      <c r="A851">
        <v>5781</v>
      </c>
      <c r="B851" s="1">
        <v>40161</v>
      </c>
      <c r="C851" s="1"/>
      <c r="E851" t="b">
        <f>NOT(OR(ISBLANK(tblEmployee[[#This Row],[EndDate]]),tblEmployee[[#This Row],[EndDate]]-tblEmployee[[#This Row],[StartDate]]&gt;90))</f>
        <v>0</v>
      </c>
    </row>
    <row r="852" spans="1:5" x14ac:dyDescent="0.3">
      <c r="A852">
        <v>5787</v>
      </c>
      <c r="B852" s="1">
        <v>41437</v>
      </c>
      <c r="C852" s="1"/>
      <c r="E852" t="b">
        <f>NOT(OR(ISBLANK(tblEmployee[[#This Row],[EndDate]]),tblEmployee[[#This Row],[EndDate]]-tblEmployee[[#This Row],[StartDate]]&gt;90))</f>
        <v>0</v>
      </c>
    </row>
    <row r="853" spans="1:5" x14ac:dyDescent="0.3">
      <c r="A853">
        <v>5797</v>
      </c>
      <c r="B853" s="1">
        <v>39215</v>
      </c>
      <c r="C853" s="1"/>
      <c r="E853" t="b">
        <f>NOT(OR(ISBLANK(tblEmployee[[#This Row],[EndDate]]),tblEmployee[[#This Row],[EndDate]]-tblEmployee[[#This Row],[StartDate]]&gt;90))</f>
        <v>0</v>
      </c>
    </row>
    <row r="854" spans="1:5" x14ac:dyDescent="0.3">
      <c r="A854">
        <v>5799</v>
      </c>
      <c r="B854" s="1">
        <v>42771</v>
      </c>
      <c r="C854" s="1">
        <v>43462</v>
      </c>
      <c r="D854" t="s">
        <v>56</v>
      </c>
      <c r="E854" t="b">
        <f>NOT(OR(ISBLANK(tblEmployee[[#This Row],[EndDate]]),tblEmployee[[#This Row],[EndDate]]-tblEmployee[[#This Row],[StartDate]]&gt;90))</f>
        <v>0</v>
      </c>
    </row>
    <row r="855" spans="1:5" x14ac:dyDescent="0.3">
      <c r="A855">
        <v>5831</v>
      </c>
      <c r="B855" s="1">
        <v>40131</v>
      </c>
      <c r="C855" s="1">
        <v>43295</v>
      </c>
      <c r="D855" t="s">
        <v>31</v>
      </c>
      <c r="E855" t="b">
        <f>NOT(OR(ISBLANK(tblEmployee[[#This Row],[EndDate]]),tblEmployee[[#This Row],[EndDate]]-tblEmployee[[#This Row],[StartDate]]&gt;90))</f>
        <v>0</v>
      </c>
    </row>
    <row r="856" spans="1:5" x14ac:dyDescent="0.3">
      <c r="A856">
        <v>5844</v>
      </c>
      <c r="B856" s="1">
        <v>37268</v>
      </c>
      <c r="C856" s="1"/>
      <c r="E856" t="b">
        <f>NOT(OR(ISBLANK(tblEmployee[[#This Row],[EndDate]]),tblEmployee[[#This Row],[EndDate]]-tblEmployee[[#This Row],[StartDate]]&gt;90))</f>
        <v>0</v>
      </c>
    </row>
    <row r="857" spans="1:5" x14ac:dyDescent="0.3">
      <c r="A857">
        <v>5858</v>
      </c>
      <c r="B857" s="1">
        <v>38365</v>
      </c>
      <c r="C857" s="1"/>
      <c r="E857" t="b">
        <f>NOT(OR(ISBLANK(tblEmployee[[#This Row],[EndDate]]),tblEmployee[[#This Row],[EndDate]]-tblEmployee[[#This Row],[StartDate]]&gt;90))</f>
        <v>0</v>
      </c>
    </row>
    <row r="858" spans="1:5" x14ac:dyDescent="0.3">
      <c r="A858">
        <v>5868</v>
      </c>
      <c r="B858" s="1">
        <v>40151</v>
      </c>
      <c r="C858" s="1"/>
      <c r="E858" t="b">
        <f>NOT(OR(ISBLANK(tblEmployee[[#This Row],[EndDate]]),tblEmployee[[#This Row],[EndDate]]-tblEmployee[[#This Row],[StartDate]]&gt;90))</f>
        <v>0</v>
      </c>
    </row>
    <row r="859" spans="1:5" x14ac:dyDescent="0.3">
      <c r="A859">
        <v>5876</v>
      </c>
      <c r="B859" s="1">
        <v>38610</v>
      </c>
      <c r="C859" s="1"/>
      <c r="E859" t="b">
        <f>NOT(OR(ISBLANK(tblEmployee[[#This Row],[EndDate]]),tblEmployee[[#This Row],[EndDate]]-tblEmployee[[#This Row],[StartDate]]&gt;90))</f>
        <v>0</v>
      </c>
    </row>
    <row r="860" spans="1:5" x14ac:dyDescent="0.3">
      <c r="A860">
        <v>5878</v>
      </c>
      <c r="B860" s="1">
        <v>37859</v>
      </c>
      <c r="C860" s="1"/>
      <c r="E860" t="b">
        <f>NOT(OR(ISBLANK(tblEmployee[[#This Row],[EndDate]]),tblEmployee[[#This Row],[EndDate]]-tblEmployee[[#This Row],[StartDate]]&gt;90))</f>
        <v>0</v>
      </c>
    </row>
    <row r="861" spans="1:5" x14ac:dyDescent="0.3">
      <c r="A861">
        <v>5886</v>
      </c>
      <c r="B861" s="1">
        <v>39367</v>
      </c>
      <c r="C861" s="1"/>
      <c r="E861" t="b">
        <f>NOT(OR(ISBLANK(tblEmployee[[#This Row],[EndDate]]),tblEmployee[[#This Row],[EndDate]]-tblEmployee[[#This Row],[StartDate]]&gt;90))</f>
        <v>0</v>
      </c>
    </row>
    <row r="862" spans="1:5" x14ac:dyDescent="0.3">
      <c r="A862">
        <v>5888</v>
      </c>
      <c r="B862" s="1">
        <v>41347</v>
      </c>
      <c r="C862" s="1"/>
      <c r="E862" t="b">
        <f>NOT(OR(ISBLANK(tblEmployee[[#This Row],[EndDate]]),tblEmployee[[#This Row],[EndDate]]-tblEmployee[[#This Row],[StartDate]]&gt;90))</f>
        <v>0</v>
      </c>
    </row>
    <row r="863" spans="1:5" x14ac:dyDescent="0.3">
      <c r="A863">
        <v>5890</v>
      </c>
      <c r="B863" s="1">
        <v>41949</v>
      </c>
      <c r="C863" s="1">
        <v>44367</v>
      </c>
      <c r="D863" t="s">
        <v>25</v>
      </c>
      <c r="E863" t="b">
        <f>NOT(OR(ISBLANK(tblEmployee[[#This Row],[EndDate]]),tblEmployee[[#This Row],[EndDate]]-tblEmployee[[#This Row],[StartDate]]&gt;90))</f>
        <v>0</v>
      </c>
    </row>
    <row r="864" spans="1:5" x14ac:dyDescent="0.3">
      <c r="A864">
        <v>5894</v>
      </c>
      <c r="B864" s="1">
        <v>38989</v>
      </c>
      <c r="C864" s="1">
        <v>44274</v>
      </c>
      <c r="D864" t="s">
        <v>30</v>
      </c>
      <c r="E864" t="b">
        <f>NOT(OR(ISBLANK(tblEmployee[[#This Row],[EndDate]]),tblEmployee[[#This Row],[EndDate]]-tblEmployee[[#This Row],[StartDate]]&gt;90))</f>
        <v>0</v>
      </c>
    </row>
    <row r="865" spans="1:5" x14ac:dyDescent="0.3">
      <c r="A865">
        <v>5896</v>
      </c>
      <c r="B865" s="1">
        <v>41034</v>
      </c>
      <c r="C865" s="1"/>
      <c r="E865" t="b">
        <f>NOT(OR(ISBLANK(tblEmployee[[#This Row],[EndDate]]),tblEmployee[[#This Row],[EndDate]]-tblEmployee[[#This Row],[StartDate]]&gt;90))</f>
        <v>0</v>
      </c>
    </row>
    <row r="866" spans="1:5" x14ac:dyDescent="0.3">
      <c r="A866">
        <v>5898</v>
      </c>
      <c r="B866" s="1">
        <v>42041</v>
      </c>
      <c r="C866" s="1"/>
      <c r="E866" t="b">
        <f>NOT(OR(ISBLANK(tblEmployee[[#This Row],[EndDate]]),tblEmployee[[#This Row],[EndDate]]-tblEmployee[[#This Row],[StartDate]]&gt;90))</f>
        <v>0</v>
      </c>
    </row>
    <row r="867" spans="1:5" x14ac:dyDescent="0.3">
      <c r="A867">
        <v>5904</v>
      </c>
      <c r="B867" s="1">
        <v>40893</v>
      </c>
      <c r="C867" s="1"/>
      <c r="E867" t="b">
        <f>NOT(OR(ISBLANK(tblEmployee[[#This Row],[EndDate]]),tblEmployee[[#This Row],[EndDate]]-tblEmployee[[#This Row],[StartDate]]&gt;90))</f>
        <v>0</v>
      </c>
    </row>
    <row r="868" spans="1:5" x14ac:dyDescent="0.3">
      <c r="A868">
        <v>5910</v>
      </c>
      <c r="B868" s="1">
        <v>42085</v>
      </c>
      <c r="C868" s="1"/>
      <c r="E868" t="b">
        <f>NOT(OR(ISBLANK(tblEmployee[[#This Row],[EndDate]]),tblEmployee[[#This Row],[EndDate]]-tblEmployee[[#This Row],[StartDate]]&gt;90))</f>
        <v>0</v>
      </c>
    </row>
    <row r="869" spans="1:5" x14ac:dyDescent="0.3">
      <c r="A869">
        <v>5911</v>
      </c>
      <c r="B869" s="1">
        <v>41893</v>
      </c>
      <c r="C869" s="1"/>
      <c r="E869" t="b">
        <f>NOT(OR(ISBLANK(tblEmployee[[#This Row],[EndDate]]),tblEmployee[[#This Row],[EndDate]]-tblEmployee[[#This Row],[StartDate]]&gt;90))</f>
        <v>0</v>
      </c>
    </row>
    <row r="870" spans="1:5" x14ac:dyDescent="0.3">
      <c r="A870">
        <v>5917</v>
      </c>
      <c r="B870" s="1">
        <v>41864</v>
      </c>
      <c r="C870" s="1"/>
      <c r="E870" t="b">
        <f>NOT(OR(ISBLANK(tblEmployee[[#This Row],[EndDate]]),tblEmployee[[#This Row],[EndDate]]-tblEmployee[[#This Row],[StartDate]]&gt;90))</f>
        <v>0</v>
      </c>
    </row>
    <row r="871" spans="1:5" x14ac:dyDescent="0.3">
      <c r="A871">
        <v>5919</v>
      </c>
      <c r="B871" s="1">
        <v>40691</v>
      </c>
      <c r="C871" s="1">
        <v>41111</v>
      </c>
      <c r="D871" t="s">
        <v>56</v>
      </c>
      <c r="E871" t="b">
        <f>NOT(OR(ISBLANK(tblEmployee[[#This Row],[EndDate]]),tblEmployee[[#This Row],[EndDate]]-tblEmployee[[#This Row],[StartDate]]&gt;90))</f>
        <v>0</v>
      </c>
    </row>
    <row r="872" spans="1:5" x14ac:dyDescent="0.3">
      <c r="A872">
        <v>5923</v>
      </c>
      <c r="B872" s="1">
        <v>39702</v>
      </c>
      <c r="C872" s="1"/>
      <c r="E872" t="b">
        <f>NOT(OR(ISBLANK(tblEmployee[[#This Row],[EndDate]]),tblEmployee[[#This Row],[EndDate]]-tblEmployee[[#This Row],[StartDate]]&gt;90))</f>
        <v>0</v>
      </c>
    </row>
    <row r="873" spans="1:5" x14ac:dyDescent="0.3">
      <c r="A873">
        <v>5928</v>
      </c>
      <c r="B873" s="1">
        <v>43494</v>
      </c>
      <c r="C873" s="1">
        <v>43817</v>
      </c>
      <c r="D873" t="s">
        <v>26</v>
      </c>
      <c r="E873" t="b">
        <f>NOT(OR(ISBLANK(tblEmployee[[#This Row],[EndDate]]),tblEmployee[[#This Row],[EndDate]]-tblEmployee[[#This Row],[StartDate]]&gt;90))</f>
        <v>0</v>
      </c>
    </row>
    <row r="874" spans="1:5" x14ac:dyDescent="0.3">
      <c r="A874">
        <v>5929</v>
      </c>
      <c r="B874" s="1">
        <v>43389</v>
      </c>
      <c r="C874" s="1"/>
      <c r="E874" t="b">
        <f>NOT(OR(ISBLANK(tblEmployee[[#This Row],[EndDate]]),tblEmployee[[#This Row],[EndDate]]-tblEmployee[[#This Row],[StartDate]]&gt;90))</f>
        <v>0</v>
      </c>
    </row>
    <row r="875" spans="1:5" x14ac:dyDescent="0.3">
      <c r="A875">
        <v>5935</v>
      </c>
      <c r="B875" s="1">
        <v>42753</v>
      </c>
      <c r="C875" s="1">
        <v>43772</v>
      </c>
      <c r="D875" t="s">
        <v>25</v>
      </c>
      <c r="E875" t="b">
        <f>NOT(OR(ISBLANK(tblEmployee[[#This Row],[EndDate]]),tblEmployee[[#This Row],[EndDate]]-tblEmployee[[#This Row],[StartDate]]&gt;90))</f>
        <v>0</v>
      </c>
    </row>
    <row r="876" spans="1:5" x14ac:dyDescent="0.3">
      <c r="A876">
        <v>5938</v>
      </c>
      <c r="B876" s="1">
        <v>38086</v>
      </c>
      <c r="C876" s="1"/>
      <c r="E876" t="b">
        <f>NOT(OR(ISBLANK(tblEmployee[[#This Row],[EndDate]]),tblEmployee[[#This Row],[EndDate]]-tblEmployee[[#This Row],[StartDate]]&gt;90))</f>
        <v>0</v>
      </c>
    </row>
    <row r="877" spans="1:5" x14ac:dyDescent="0.3">
      <c r="A877">
        <v>5942</v>
      </c>
      <c r="B877" s="1">
        <v>39283</v>
      </c>
      <c r="C877" s="1"/>
      <c r="E877" t="b">
        <f>NOT(OR(ISBLANK(tblEmployee[[#This Row],[EndDate]]),tblEmployee[[#This Row],[EndDate]]-tblEmployee[[#This Row],[StartDate]]&gt;90))</f>
        <v>0</v>
      </c>
    </row>
    <row r="878" spans="1:5" x14ac:dyDescent="0.3">
      <c r="A878">
        <v>5945</v>
      </c>
      <c r="B878" s="1">
        <v>41835</v>
      </c>
      <c r="C878" s="1">
        <v>41957</v>
      </c>
      <c r="D878" t="s">
        <v>30</v>
      </c>
      <c r="E878" t="b">
        <f>NOT(OR(ISBLANK(tblEmployee[[#This Row],[EndDate]]),tblEmployee[[#This Row],[EndDate]]-tblEmployee[[#This Row],[StartDate]]&gt;90))</f>
        <v>0</v>
      </c>
    </row>
    <row r="879" spans="1:5" x14ac:dyDescent="0.3">
      <c r="A879">
        <v>5947</v>
      </c>
      <c r="B879" s="1">
        <v>37959</v>
      </c>
      <c r="C879" s="1">
        <v>38064</v>
      </c>
      <c r="D879" t="s">
        <v>26</v>
      </c>
      <c r="E879" t="b">
        <f>NOT(OR(ISBLANK(tblEmployee[[#This Row],[EndDate]]),tblEmployee[[#This Row],[EndDate]]-tblEmployee[[#This Row],[StartDate]]&gt;90))</f>
        <v>0</v>
      </c>
    </row>
    <row r="880" spans="1:5" x14ac:dyDescent="0.3">
      <c r="A880">
        <v>5956</v>
      </c>
      <c r="B880" s="1">
        <v>37583</v>
      </c>
      <c r="C880" s="1"/>
      <c r="E880" t="b">
        <f>NOT(OR(ISBLANK(tblEmployee[[#This Row],[EndDate]]),tblEmployee[[#This Row],[EndDate]]-tblEmployee[[#This Row],[StartDate]]&gt;90))</f>
        <v>0</v>
      </c>
    </row>
    <row r="881" spans="1:5" x14ac:dyDescent="0.3">
      <c r="A881">
        <v>5960</v>
      </c>
      <c r="B881" s="1">
        <v>37331</v>
      </c>
      <c r="C881" s="1"/>
      <c r="E881" t="b">
        <f>NOT(OR(ISBLANK(tblEmployee[[#This Row],[EndDate]]),tblEmployee[[#This Row],[EndDate]]-tblEmployee[[#This Row],[StartDate]]&gt;90))</f>
        <v>0</v>
      </c>
    </row>
    <row r="882" spans="1:5" x14ac:dyDescent="0.3">
      <c r="A882">
        <v>5970</v>
      </c>
      <c r="B882" s="1">
        <v>39661</v>
      </c>
      <c r="C882" s="1"/>
      <c r="E882" t="b">
        <f>NOT(OR(ISBLANK(tblEmployee[[#This Row],[EndDate]]),tblEmployee[[#This Row],[EndDate]]-tblEmployee[[#This Row],[StartDate]]&gt;90))</f>
        <v>0</v>
      </c>
    </row>
    <row r="883" spans="1:5" x14ac:dyDescent="0.3">
      <c r="A883">
        <v>5979</v>
      </c>
      <c r="B883" s="1">
        <v>41410</v>
      </c>
      <c r="C883" s="1"/>
      <c r="E883" t="b">
        <f>NOT(OR(ISBLANK(tblEmployee[[#This Row],[EndDate]]),tblEmployee[[#This Row],[EndDate]]-tblEmployee[[#This Row],[StartDate]]&gt;90))</f>
        <v>0</v>
      </c>
    </row>
    <row r="884" spans="1:5" x14ac:dyDescent="0.3">
      <c r="A884">
        <v>5986</v>
      </c>
      <c r="B884" s="1">
        <v>39216</v>
      </c>
      <c r="C884" s="1"/>
      <c r="E884" t="b">
        <f>NOT(OR(ISBLANK(tblEmployee[[#This Row],[EndDate]]),tblEmployee[[#This Row],[EndDate]]-tblEmployee[[#This Row],[StartDate]]&gt;90))</f>
        <v>0</v>
      </c>
    </row>
    <row r="885" spans="1:5" x14ac:dyDescent="0.3">
      <c r="A885">
        <v>5989</v>
      </c>
      <c r="B885" s="1">
        <v>37705</v>
      </c>
      <c r="C885" s="1"/>
      <c r="E885" t="b">
        <f>NOT(OR(ISBLANK(tblEmployee[[#This Row],[EndDate]]),tblEmployee[[#This Row],[EndDate]]-tblEmployee[[#This Row],[StartDate]]&gt;90))</f>
        <v>0</v>
      </c>
    </row>
    <row r="886" spans="1:5" x14ac:dyDescent="0.3">
      <c r="A886">
        <v>5996</v>
      </c>
      <c r="B886" s="1">
        <v>44238</v>
      </c>
      <c r="C886" s="1">
        <v>44492</v>
      </c>
      <c r="D886" t="s">
        <v>30</v>
      </c>
      <c r="E886" t="b">
        <f>NOT(OR(ISBLANK(tblEmployee[[#This Row],[EndDate]]),tblEmployee[[#This Row],[EndDate]]-tblEmployee[[#This Row],[StartDate]]&gt;90))</f>
        <v>0</v>
      </c>
    </row>
    <row r="887" spans="1:5" x14ac:dyDescent="0.3">
      <c r="A887">
        <v>6017</v>
      </c>
      <c r="B887" s="1">
        <v>37639</v>
      </c>
      <c r="C887" s="1">
        <v>41158</v>
      </c>
      <c r="D887" t="s">
        <v>28</v>
      </c>
      <c r="E887" t="b">
        <f>NOT(OR(ISBLANK(tblEmployee[[#This Row],[EndDate]]),tblEmployee[[#This Row],[EndDate]]-tblEmployee[[#This Row],[StartDate]]&gt;90))</f>
        <v>0</v>
      </c>
    </row>
    <row r="888" spans="1:5" x14ac:dyDescent="0.3">
      <c r="A888">
        <v>6026</v>
      </c>
      <c r="B888" s="1">
        <v>41156</v>
      </c>
      <c r="C888" s="1"/>
      <c r="E888" t="b">
        <f>NOT(OR(ISBLANK(tblEmployee[[#This Row],[EndDate]]),tblEmployee[[#This Row],[EndDate]]-tblEmployee[[#This Row],[StartDate]]&gt;90))</f>
        <v>0</v>
      </c>
    </row>
    <row r="889" spans="1:5" x14ac:dyDescent="0.3">
      <c r="A889">
        <v>6031</v>
      </c>
      <c r="B889" s="1">
        <v>42079</v>
      </c>
      <c r="C889" s="1"/>
      <c r="E889" t="b">
        <f>NOT(OR(ISBLANK(tblEmployee[[#This Row],[EndDate]]),tblEmployee[[#This Row],[EndDate]]-tblEmployee[[#This Row],[StartDate]]&gt;90))</f>
        <v>0</v>
      </c>
    </row>
    <row r="890" spans="1:5" x14ac:dyDescent="0.3">
      <c r="A890">
        <v>6049</v>
      </c>
      <c r="B890" s="1">
        <v>44030</v>
      </c>
      <c r="C890" s="1"/>
      <c r="E890" t="b">
        <f>NOT(OR(ISBLANK(tblEmployee[[#This Row],[EndDate]]),tblEmployee[[#This Row],[EndDate]]-tblEmployee[[#This Row],[StartDate]]&gt;90))</f>
        <v>0</v>
      </c>
    </row>
    <row r="891" spans="1:5" x14ac:dyDescent="0.3">
      <c r="A891">
        <v>6075</v>
      </c>
      <c r="B891" s="1">
        <v>43744</v>
      </c>
      <c r="C891" s="1"/>
      <c r="E891" t="b">
        <f>NOT(OR(ISBLANK(tblEmployee[[#This Row],[EndDate]]),tblEmployee[[#This Row],[EndDate]]-tblEmployee[[#This Row],[StartDate]]&gt;90))</f>
        <v>0</v>
      </c>
    </row>
    <row r="892" spans="1:5" x14ac:dyDescent="0.3">
      <c r="A892">
        <v>6077</v>
      </c>
      <c r="B892" s="1">
        <v>42057</v>
      </c>
      <c r="C892" s="1">
        <v>44224</v>
      </c>
      <c r="D892" t="s">
        <v>25</v>
      </c>
      <c r="E892" t="b">
        <f>NOT(OR(ISBLANK(tblEmployee[[#This Row],[EndDate]]),tblEmployee[[#This Row],[EndDate]]-tblEmployee[[#This Row],[StartDate]]&gt;90))</f>
        <v>0</v>
      </c>
    </row>
    <row r="893" spans="1:5" x14ac:dyDescent="0.3">
      <c r="A893">
        <v>6078</v>
      </c>
      <c r="B893" s="1">
        <v>42962</v>
      </c>
      <c r="C893" s="1"/>
      <c r="E893" t="b">
        <f>NOT(OR(ISBLANK(tblEmployee[[#This Row],[EndDate]]),tblEmployee[[#This Row],[EndDate]]-tblEmployee[[#This Row],[StartDate]]&gt;90))</f>
        <v>0</v>
      </c>
    </row>
    <row r="894" spans="1:5" x14ac:dyDescent="0.3">
      <c r="A894">
        <v>6081</v>
      </c>
      <c r="B894" s="1">
        <v>41805</v>
      </c>
      <c r="C894" s="1"/>
      <c r="E894" t="b">
        <f>NOT(OR(ISBLANK(tblEmployee[[#This Row],[EndDate]]),tblEmployee[[#This Row],[EndDate]]-tblEmployee[[#This Row],[StartDate]]&gt;90))</f>
        <v>0</v>
      </c>
    </row>
    <row r="895" spans="1:5" x14ac:dyDescent="0.3">
      <c r="A895">
        <v>6086</v>
      </c>
      <c r="B895" s="1">
        <v>39538</v>
      </c>
      <c r="C895" s="1"/>
      <c r="E895" t="b">
        <f>NOT(OR(ISBLANK(tblEmployee[[#This Row],[EndDate]]),tblEmployee[[#This Row],[EndDate]]-tblEmployee[[#This Row],[StartDate]]&gt;90))</f>
        <v>0</v>
      </c>
    </row>
    <row r="896" spans="1:5" x14ac:dyDescent="0.3">
      <c r="A896">
        <v>6094</v>
      </c>
      <c r="B896" s="1">
        <v>39844</v>
      </c>
      <c r="C896" s="1">
        <v>43786</v>
      </c>
      <c r="D896" t="s">
        <v>56</v>
      </c>
      <c r="E896" t="b">
        <f>NOT(OR(ISBLANK(tblEmployee[[#This Row],[EndDate]]),tblEmployee[[#This Row],[EndDate]]-tblEmployee[[#This Row],[StartDate]]&gt;90))</f>
        <v>0</v>
      </c>
    </row>
    <row r="897" spans="1:5" x14ac:dyDescent="0.3">
      <c r="A897">
        <v>6095</v>
      </c>
      <c r="B897" s="1">
        <v>42628</v>
      </c>
      <c r="C897" s="1"/>
      <c r="E897" t="b">
        <f>NOT(OR(ISBLANK(tblEmployee[[#This Row],[EndDate]]),tblEmployee[[#This Row],[EndDate]]-tblEmployee[[#This Row],[StartDate]]&gt;90))</f>
        <v>0</v>
      </c>
    </row>
    <row r="898" spans="1:5" x14ac:dyDescent="0.3">
      <c r="A898">
        <v>6106</v>
      </c>
      <c r="B898" s="1">
        <v>42986</v>
      </c>
      <c r="C898" s="1"/>
      <c r="E898" t="b">
        <f>NOT(OR(ISBLANK(tblEmployee[[#This Row],[EndDate]]),tblEmployee[[#This Row],[EndDate]]-tblEmployee[[#This Row],[StartDate]]&gt;90))</f>
        <v>0</v>
      </c>
    </row>
    <row r="899" spans="1:5" x14ac:dyDescent="0.3">
      <c r="A899">
        <v>6113</v>
      </c>
      <c r="B899" s="1">
        <v>41830</v>
      </c>
      <c r="C899" s="1"/>
      <c r="E899" t="b">
        <f>NOT(OR(ISBLANK(tblEmployee[[#This Row],[EndDate]]),tblEmployee[[#This Row],[EndDate]]-tblEmployee[[#This Row],[StartDate]]&gt;90))</f>
        <v>0</v>
      </c>
    </row>
    <row r="900" spans="1:5" x14ac:dyDescent="0.3">
      <c r="A900">
        <v>6128</v>
      </c>
      <c r="B900" s="1">
        <v>40842</v>
      </c>
      <c r="C900" s="1"/>
      <c r="E900" t="b">
        <f>NOT(OR(ISBLANK(tblEmployee[[#This Row],[EndDate]]),tblEmployee[[#This Row],[EndDate]]-tblEmployee[[#This Row],[StartDate]]&gt;90))</f>
        <v>0</v>
      </c>
    </row>
    <row r="901" spans="1:5" x14ac:dyDescent="0.3">
      <c r="A901">
        <v>6137</v>
      </c>
      <c r="B901" s="1">
        <v>41331</v>
      </c>
      <c r="C901" s="1"/>
      <c r="E901" t="b">
        <f>NOT(OR(ISBLANK(tblEmployee[[#This Row],[EndDate]]),tblEmployee[[#This Row],[EndDate]]-tblEmployee[[#This Row],[StartDate]]&gt;90))</f>
        <v>0</v>
      </c>
    </row>
    <row r="902" spans="1:5" x14ac:dyDescent="0.3">
      <c r="A902">
        <v>6144</v>
      </c>
      <c r="B902" s="1">
        <v>40885</v>
      </c>
      <c r="C902" s="1">
        <v>42746</v>
      </c>
      <c r="D902" t="s">
        <v>26</v>
      </c>
      <c r="E902" t="b">
        <f>NOT(OR(ISBLANK(tblEmployee[[#This Row],[EndDate]]),tblEmployee[[#This Row],[EndDate]]-tblEmployee[[#This Row],[StartDate]]&gt;90))</f>
        <v>0</v>
      </c>
    </row>
    <row r="903" spans="1:5" x14ac:dyDescent="0.3">
      <c r="A903">
        <v>6152</v>
      </c>
      <c r="B903" s="1">
        <v>38755</v>
      </c>
      <c r="C903" s="1"/>
      <c r="E903" t="b">
        <f>NOT(OR(ISBLANK(tblEmployee[[#This Row],[EndDate]]),tblEmployee[[#This Row],[EndDate]]-tblEmployee[[#This Row],[StartDate]]&gt;90))</f>
        <v>0</v>
      </c>
    </row>
    <row r="904" spans="1:5" x14ac:dyDescent="0.3">
      <c r="A904">
        <v>6156</v>
      </c>
      <c r="B904" s="1">
        <v>42467</v>
      </c>
      <c r="C904" s="1">
        <v>44321</v>
      </c>
      <c r="D904" t="s">
        <v>26</v>
      </c>
      <c r="E904" t="b">
        <f>NOT(OR(ISBLANK(tblEmployee[[#This Row],[EndDate]]),tblEmployee[[#This Row],[EndDate]]-tblEmployee[[#This Row],[StartDate]]&gt;90))</f>
        <v>0</v>
      </c>
    </row>
    <row r="905" spans="1:5" x14ac:dyDescent="0.3">
      <c r="A905">
        <v>6157</v>
      </c>
      <c r="B905" s="1">
        <v>41617</v>
      </c>
      <c r="C905" s="1"/>
      <c r="E905" t="b">
        <f>NOT(OR(ISBLANK(tblEmployee[[#This Row],[EndDate]]),tblEmployee[[#This Row],[EndDate]]-tblEmployee[[#This Row],[StartDate]]&gt;90))</f>
        <v>0</v>
      </c>
    </row>
    <row r="906" spans="1:5" x14ac:dyDescent="0.3">
      <c r="A906">
        <v>6159</v>
      </c>
      <c r="B906" s="1">
        <v>40684</v>
      </c>
      <c r="C906" s="1"/>
      <c r="E906" t="b">
        <f>NOT(OR(ISBLANK(tblEmployee[[#This Row],[EndDate]]),tblEmployee[[#This Row],[EndDate]]-tblEmployee[[#This Row],[StartDate]]&gt;90))</f>
        <v>0</v>
      </c>
    </row>
    <row r="907" spans="1:5" x14ac:dyDescent="0.3">
      <c r="A907">
        <v>6161</v>
      </c>
      <c r="B907" s="1">
        <v>39652</v>
      </c>
      <c r="C907" s="1"/>
      <c r="E907" t="b">
        <f>NOT(OR(ISBLANK(tblEmployee[[#This Row],[EndDate]]),tblEmployee[[#This Row],[EndDate]]-tblEmployee[[#This Row],[StartDate]]&gt;90))</f>
        <v>0</v>
      </c>
    </row>
    <row r="908" spans="1:5" x14ac:dyDescent="0.3">
      <c r="A908">
        <v>6164</v>
      </c>
      <c r="B908" s="1">
        <v>39675</v>
      </c>
      <c r="C908" s="1">
        <v>40902</v>
      </c>
      <c r="D908" t="s">
        <v>25</v>
      </c>
      <c r="E908" t="b">
        <f>NOT(OR(ISBLANK(tblEmployee[[#This Row],[EndDate]]),tblEmployee[[#This Row],[EndDate]]-tblEmployee[[#This Row],[StartDate]]&gt;90))</f>
        <v>0</v>
      </c>
    </row>
    <row r="909" spans="1:5" x14ac:dyDescent="0.3">
      <c r="A909">
        <v>6168</v>
      </c>
      <c r="B909" s="1">
        <v>43341</v>
      </c>
      <c r="C909" s="1"/>
      <c r="E909" t="b">
        <f>NOT(OR(ISBLANK(tblEmployee[[#This Row],[EndDate]]),tblEmployee[[#This Row],[EndDate]]-tblEmployee[[#This Row],[StartDate]]&gt;90))</f>
        <v>0</v>
      </c>
    </row>
    <row r="910" spans="1:5" x14ac:dyDescent="0.3">
      <c r="A910">
        <v>6171</v>
      </c>
      <c r="B910" s="1">
        <v>40597</v>
      </c>
      <c r="C910" s="1"/>
      <c r="E910" t="b">
        <f>NOT(OR(ISBLANK(tblEmployee[[#This Row],[EndDate]]),tblEmployee[[#This Row],[EndDate]]-tblEmployee[[#This Row],[StartDate]]&gt;90))</f>
        <v>0</v>
      </c>
    </row>
    <row r="911" spans="1:5" x14ac:dyDescent="0.3">
      <c r="A911">
        <v>6173</v>
      </c>
      <c r="B911" s="1">
        <v>40496</v>
      </c>
      <c r="C911" s="1"/>
      <c r="E911" t="b">
        <f>NOT(OR(ISBLANK(tblEmployee[[#This Row],[EndDate]]),tblEmployee[[#This Row],[EndDate]]-tblEmployee[[#This Row],[StartDate]]&gt;90))</f>
        <v>0</v>
      </c>
    </row>
    <row r="912" spans="1:5" x14ac:dyDescent="0.3">
      <c r="A912">
        <v>6178</v>
      </c>
      <c r="B912" s="1">
        <v>41726</v>
      </c>
      <c r="C912" s="1"/>
      <c r="E912" t="b">
        <f>NOT(OR(ISBLANK(tblEmployee[[#This Row],[EndDate]]),tblEmployee[[#This Row],[EndDate]]-tblEmployee[[#This Row],[StartDate]]&gt;90))</f>
        <v>0</v>
      </c>
    </row>
    <row r="913" spans="1:5" x14ac:dyDescent="0.3">
      <c r="A913">
        <v>6182</v>
      </c>
      <c r="B913" s="1">
        <v>37429</v>
      </c>
      <c r="C913" s="1"/>
      <c r="E913" t="b">
        <f>NOT(OR(ISBLANK(tblEmployee[[#This Row],[EndDate]]),tblEmployee[[#This Row],[EndDate]]-tblEmployee[[#This Row],[StartDate]]&gt;90))</f>
        <v>0</v>
      </c>
    </row>
    <row r="914" spans="1:5" x14ac:dyDescent="0.3">
      <c r="A914">
        <v>6191</v>
      </c>
      <c r="B914" s="1">
        <v>39212</v>
      </c>
      <c r="C914" s="1"/>
      <c r="E914" t="b">
        <f>NOT(OR(ISBLANK(tblEmployee[[#This Row],[EndDate]]),tblEmployee[[#This Row],[EndDate]]-tblEmployee[[#This Row],[StartDate]]&gt;90))</f>
        <v>0</v>
      </c>
    </row>
    <row r="915" spans="1:5" x14ac:dyDescent="0.3">
      <c r="A915">
        <v>6199</v>
      </c>
      <c r="B915" s="1">
        <v>41193</v>
      </c>
      <c r="C915" s="1">
        <v>42193</v>
      </c>
      <c r="D915" t="s">
        <v>28</v>
      </c>
      <c r="E915" t="b">
        <f>NOT(OR(ISBLANK(tblEmployee[[#This Row],[EndDate]]),tblEmployee[[#This Row],[EndDate]]-tblEmployee[[#This Row],[StartDate]]&gt;90))</f>
        <v>0</v>
      </c>
    </row>
    <row r="916" spans="1:5" x14ac:dyDescent="0.3">
      <c r="A916">
        <v>6208</v>
      </c>
      <c r="B916" s="1">
        <v>43121</v>
      </c>
      <c r="C916" s="1"/>
      <c r="E916" t="b">
        <f>NOT(OR(ISBLANK(tblEmployee[[#This Row],[EndDate]]),tblEmployee[[#This Row],[EndDate]]-tblEmployee[[#This Row],[StartDate]]&gt;90))</f>
        <v>0</v>
      </c>
    </row>
    <row r="917" spans="1:5" x14ac:dyDescent="0.3">
      <c r="A917">
        <v>6210</v>
      </c>
      <c r="B917" s="1">
        <v>41794</v>
      </c>
      <c r="C917" s="1">
        <v>43906</v>
      </c>
      <c r="D917" t="s">
        <v>27</v>
      </c>
      <c r="E917" t="b">
        <f>NOT(OR(ISBLANK(tblEmployee[[#This Row],[EndDate]]),tblEmployee[[#This Row],[EndDate]]-tblEmployee[[#This Row],[StartDate]]&gt;90))</f>
        <v>0</v>
      </c>
    </row>
    <row r="918" spans="1:5" x14ac:dyDescent="0.3">
      <c r="A918">
        <v>6211</v>
      </c>
      <c r="B918" s="1">
        <v>42612</v>
      </c>
      <c r="C918" s="1"/>
      <c r="E918" t="b">
        <f>NOT(OR(ISBLANK(tblEmployee[[#This Row],[EndDate]]),tblEmployee[[#This Row],[EndDate]]-tblEmployee[[#This Row],[StartDate]]&gt;90))</f>
        <v>0</v>
      </c>
    </row>
    <row r="919" spans="1:5" x14ac:dyDescent="0.3">
      <c r="A919">
        <v>6213</v>
      </c>
      <c r="B919" s="1">
        <v>42021</v>
      </c>
      <c r="C919" s="1"/>
      <c r="E919" t="b">
        <f>NOT(OR(ISBLANK(tblEmployee[[#This Row],[EndDate]]),tblEmployee[[#This Row],[EndDate]]-tblEmployee[[#This Row],[StartDate]]&gt;90))</f>
        <v>0</v>
      </c>
    </row>
    <row r="920" spans="1:5" x14ac:dyDescent="0.3">
      <c r="A920">
        <v>6214</v>
      </c>
      <c r="B920" s="1">
        <v>43761</v>
      </c>
      <c r="C920" s="1"/>
      <c r="E920" t="b">
        <f>NOT(OR(ISBLANK(tblEmployee[[#This Row],[EndDate]]),tblEmployee[[#This Row],[EndDate]]-tblEmployee[[#This Row],[StartDate]]&gt;90))</f>
        <v>0</v>
      </c>
    </row>
    <row r="921" spans="1:5" x14ac:dyDescent="0.3">
      <c r="A921">
        <v>6223</v>
      </c>
      <c r="B921" s="1">
        <v>37265</v>
      </c>
      <c r="C921" s="1"/>
      <c r="E921" t="b">
        <f>NOT(OR(ISBLANK(tblEmployee[[#This Row],[EndDate]]),tblEmployee[[#This Row],[EndDate]]-tblEmployee[[#This Row],[StartDate]]&gt;90))</f>
        <v>0</v>
      </c>
    </row>
    <row r="922" spans="1:5" x14ac:dyDescent="0.3">
      <c r="A922">
        <v>6227</v>
      </c>
      <c r="B922" s="1">
        <v>43059</v>
      </c>
      <c r="C922" s="1"/>
      <c r="E922" t="b">
        <f>NOT(OR(ISBLANK(tblEmployee[[#This Row],[EndDate]]),tblEmployee[[#This Row],[EndDate]]-tblEmployee[[#This Row],[StartDate]]&gt;90))</f>
        <v>0</v>
      </c>
    </row>
    <row r="923" spans="1:5" x14ac:dyDescent="0.3">
      <c r="A923">
        <v>6228</v>
      </c>
      <c r="B923" s="1">
        <v>38809</v>
      </c>
      <c r="C923" s="1"/>
      <c r="E923" t="b">
        <f>NOT(OR(ISBLANK(tblEmployee[[#This Row],[EndDate]]),tblEmployee[[#This Row],[EndDate]]-tblEmployee[[#This Row],[StartDate]]&gt;90))</f>
        <v>0</v>
      </c>
    </row>
    <row r="924" spans="1:5" x14ac:dyDescent="0.3">
      <c r="A924">
        <v>6230</v>
      </c>
      <c r="B924" s="1">
        <v>39889</v>
      </c>
      <c r="C924" s="1"/>
      <c r="E924" t="b">
        <f>NOT(OR(ISBLANK(tblEmployee[[#This Row],[EndDate]]),tblEmployee[[#This Row],[EndDate]]-tblEmployee[[#This Row],[StartDate]]&gt;90))</f>
        <v>0</v>
      </c>
    </row>
    <row r="925" spans="1:5" x14ac:dyDescent="0.3">
      <c r="A925">
        <v>6233</v>
      </c>
      <c r="B925" s="1">
        <v>39023</v>
      </c>
      <c r="C925" s="1">
        <v>43953</v>
      </c>
      <c r="D925" t="s">
        <v>25</v>
      </c>
      <c r="E925" t="b">
        <f>NOT(OR(ISBLANK(tblEmployee[[#This Row],[EndDate]]),tblEmployee[[#This Row],[EndDate]]-tblEmployee[[#This Row],[StartDate]]&gt;90))</f>
        <v>0</v>
      </c>
    </row>
    <row r="926" spans="1:5" x14ac:dyDescent="0.3">
      <c r="A926">
        <v>6240</v>
      </c>
      <c r="B926" s="1">
        <v>44173</v>
      </c>
      <c r="C926" s="1"/>
      <c r="E926" t="b">
        <f>NOT(OR(ISBLANK(tblEmployee[[#This Row],[EndDate]]),tblEmployee[[#This Row],[EndDate]]-tblEmployee[[#This Row],[StartDate]]&gt;90))</f>
        <v>0</v>
      </c>
    </row>
    <row r="927" spans="1:5" x14ac:dyDescent="0.3">
      <c r="A927">
        <v>6242</v>
      </c>
      <c r="B927" s="1">
        <v>42434</v>
      </c>
      <c r="C927" s="1"/>
      <c r="E927" t="b">
        <f>NOT(OR(ISBLANK(tblEmployee[[#This Row],[EndDate]]),tblEmployee[[#This Row],[EndDate]]-tblEmployee[[#This Row],[StartDate]]&gt;90))</f>
        <v>0</v>
      </c>
    </row>
    <row r="928" spans="1:5" x14ac:dyDescent="0.3">
      <c r="A928">
        <v>6244</v>
      </c>
      <c r="B928" s="1">
        <v>43854</v>
      </c>
      <c r="C928" s="1"/>
      <c r="E928" t="b">
        <f>NOT(OR(ISBLANK(tblEmployee[[#This Row],[EndDate]]),tblEmployee[[#This Row],[EndDate]]-tblEmployee[[#This Row],[StartDate]]&gt;90))</f>
        <v>0</v>
      </c>
    </row>
    <row r="929" spans="1:5" x14ac:dyDescent="0.3">
      <c r="A929">
        <v>6245</v>
      </c>
      <c r="B929" s="1">
        <v>39915</v>
      </c>
      <c r="C929" s="1"/>
      <c r="E929" t="b">
        <f>NOT(OR(ISBLANK(tblEmployee[[#This Row],[EndDate]]),tblEmployee[[#This Row],[EndDate]]-tblEmployee[[#This Row],[StartDate]]&gt;90))</f>
        <v>0</v>
      </c>
    </row>
    <row r="930" spans="1:5" x14ac:dyDescent="0.3">
      <c r="A930">
        <v>6249</v>
      </c>
      <c r="B930" s="1">
        <v>37408</v>
      </c>
      <c r="C930" s="1"/>
      <c r="E930" t="b">
        <f>NOT(OR(ISBLANK(tblEmployee[[#This Row],[EndDate]]),tblEmployee[[#This Row],[EndDate]]-tblEmployee[[#This Row],[StartDate]]&gt;90))</f>
        <v>0</v>
      </c>
    </row>
    <row r="931" spans="1:5" x14ac:dyDescent="0.3">
      <c r="A931">
        <v>6250</v>
      </c>
      <c r="B931" s="1">
        <v>37689</v>
      </c>
      <c r="C931" s="1"/>
      <c r="E931" t="b">
        <f>NOT(OR(ISBLANK(tblEmployee[[#This Row],[EndDate]]),tblEmployee[[#This Row],[EndDate]]-tblEmployee[[#This Row],[StartDate]]&gt;90))</f>
        <v>0</v>
      </c>
    </row>
    <row r="932" spans="1:5" x14ac:dyDescent="0.3">
      <c r="A932">
        <v>6255</v>
      </c>
      <c r="B932" s="1">
        <v>43311</v>
      </c>
      <c r="C932" s="1"/>
      <c r="E932" t="b">
        <f>NOT(OR(ISBLANK(tblEmployee[[#This Row],[EndDate]]),tblEmployee[[#This Row],[EndDate]]-tblEmployee[[#This Row],[StartDate]]&gt;90))</f>
        <v>0</v>
      </c>
    </row>
    <row r="933" spans="1:5" x14ac:dyDescent="0.3">
      <c r="A933">
        <v>6258</v>
      </c>
      <c r="B933" s="1">
        <v>37500</v>
      </c>
      <c r="C933" s="1"/>
      <c r="E933" t="b">
        <f>NOT(OR(ISBLANK(tblEmployee[[#This Row],[EndDate]]),tblEmployee[[#This Row],[EndDate]]-tblEmployee[[#This Row],[StartDate]]&gt;90))</f>
        <v>0</v>
      </c>
    </row>
    <row r="934" spans="1:5" x14ac:dyDescent="0.3">
      <c r="A934">
        <v>6260</v>
      </c>
      <c r="B934" s="1">
        <v>38029</v>
      </c>
      <c r="C934" s="1"/>
      <c r="E934" t="b">
        <f>NOT(OR(ISBLANK(tblEmployee[[#This Row],[EndDate]]),tblEmployee[[#This Row],[EndDate]]-tblEmployee[[#This Row],[StartDate]]&gt;90))</f>
        <v>0</v>
      </c>
    </row>
    <row r="935" spans="1:5" x14ac:dyDescent="0.3">
      <c r="A935">
        <v>6269</v>
      </c>
      <c r="B935" s="1">
        <v>38630</v>
      </c>
      <c r="C935" s="1"/>
      <c r="E935" t="b">
        <f>NOT(OR(ISBLANK(tblEmployee[[#This Row],[EndDate]]),tblEmployee[[#This Row],[EndDate]]-tblEmployee[[#This Row],[StartDate]]&gt;90))</f>
        <v>0</v>
      </c>
    </row>
    <row r="936" spans="1:5" x14ac:dyDescent="0.3">
      <c r="A936">
        <v>6273</v>
      </c>
      <c r="B936" s="1">
        <v>41130</v>
      </c>
      <c r="C936" s="1"/>
      <c r="E936" t="b">
        <f>NOT(OR(ISBLANK(tblEmployee[[#This Row],[EndDate]]),tblEmployee[[#This Row],[EndDate]]-tblEmployee[[#This Row],[StartDate]]&gt;90))</f>
        <v>0</v>
      </c>
    </row>
    <row r="937" spans="1:5" x14ac:dyDescent="0.3">
      <c r="A937">
        <v>6274</v>
      </c>
      <c r="B937" s="1">
        <v>37817</v>
      </c>
      <c r="C937" s="1"/>
      <c r="E937" t="b">
        <f>NOT(OR(ISBLANK(tblEmployee[[#This Row],[EndDate]]),tblEmployee[[#This Row],[EndDate]]-tblEmployee[[#This Row],[StartDate]]&gt;90))</f>
        <v>0</v>
      </c>
    </row>
    <row r="938" spans="1:5" x14ac:dyDescent="0.3">
      <c r="A938">
        <v>6281</v>
      </c>
      <c r="B938" s="1">
        <v>37844</v>
      </c>
      <c r="C938" s="1">
        <v>40560</v>
      </c>
      <c r="D938" t="s">
        <v>26</v>
      </c>
      <c r="E938" t="b">
        <f>NOT(OR(ISBLANK(tblEmployee[[#This Row],[EndDate]]),tblEmployee[[#This Row],[EndDate]]-tblEmployee[[#This Row],[StartDate]]&gt;90))</f>
        <v>0</v>
      </c>
    </row>
    <row r="939" spans="1:5" x14ac:dyDescent="0.3">
      <c r="A939">
        <v>6297</v>
      </c>
      <c r="B939" s="1">
        <v>39972</v>
      </c>
      <c r="C939" s="1"/>
      <c r="E939" t="b">
        <f>NOT(OR(ISBLANK(tblEmployee[[#This Row],[EndDate]]),tblEmployee[[#This Row],[EndDate]]-tblEmployee[[#This Row],[StartDate]]&gt;90))</f>
        <v>0</v>
      </c>
    </row>
    <row r="940" spans="1:5" x14ac:dyDescent="0.3">
      <c r="A940">
        <v>6300</v>
      </c>
      <c r="B940" s="1">
        <v>37613</v>
      </c>
      <c r="C940" s="1"/>
      <c r="E940" t="b">
        <f>NOT(OR(ISBLANK(tblEmployee[[#This Row],[EndDate]]),tblEmployee[[#This Row],[EndDate]]-tblEmployee[[#This Row],[StartDate]]&gt;90))</f>
        <v>0</v>
      </c>
    </row>
    <row r="941" spans="1:5" x14ac:dyDescent="0.3">
      <c r="A941">
        <v>6305</v>
      </c>
      <c r="B941" s="1">
        <v>40572</v>
      </c>
      <c r="C941" s="1"/>
      <c r="E941" t="b">
        <f>NOT(OR(ISBLANK(tblEmployee[[#This Row],[EndDate]]),tblEmployee[[#This Row],[EndDate]]-tblEmployee[[#This Row],[StartDate]]&gt;90))</f>
        <v>0</v>
      </c>
    </row>
    <row r="942" spans="1:5" x14ac:dyDescent="0.3">
      <c r="A942">
        <v>6308</v>
      </c>
      <c r="B942" s="1">
        <v>38445</v>
      </c>
      <c r="C942" s="1"/>
      <c r="E942" t="b">
        <f>NOT(OR(ISBLANK(tblEmployee[[#This Row],[EndDate]]),tblEmployee[[#This Row],[EndDate]]-tblEmployee[[#This Row],[StartDate]]&gt;90))</f>
        <v>0</v>
      </c>
    </row>
    <row r="943" spans="1:5" x14ac:dyDescent="0.3">
      <c r="A943">
        <v>6309</v>
      </c>
      <c r="B943" s="1">
        <v>37389</v>
      </c>
      <c r="C943" s="1"/>
      <c r="E943" t="b">
        <f>NOT(OR(ISBLANK(tblEmployee[[#This Row],[EndDate]]),tblEmployee[[#This Row],[EndDate]]-tblEmployee[[#This Row],[StartDate]]&gt;90))</f>
        <v>0</v>
      </c>
    </row>
    <row r="944" spans="1:5" x14ac:dyDescent="0.3">
      <c r="A944">
        <v>6319</v>
      </c>
      <c r="B944" s="1">
        <v>37776</v>
      </c>
      <c r="C944" s="1"/>
      <c r="E944" t="b">
        <f>NOT(OR(ISBLANK(tblEmployee[[#This Row],[EndDate]]),tblEmployee[[#This Row],[EndDate]]-tblEmployee[[#This Row],[StartDate]]&gt;90))</f>
        <v>0</v>
      </c>
    </row>
    <row r="945" spans="1:5" x14ac:dyDescent="0.3">
      <c r="A945">
        <v>6322</v>
      </c>
      <c r="B945" s="1">
        <v>43281</v>
      </c>
      <c r="C945" s="1"/>
      <c r="E945" t="b">
        <f>NOT(OR(ISBLANK(tblEmployee[[#This Row],[EndDate]]),tblEmployee[[#This Row],[EndDate]]-tblEmployee[[#This Row],[StartDate]]&gt;90))</f>
        <v>0</v>
      </c>
    </row>
    <row r="946" spans="1:5" x14ac:dyDescent="0.3">
      <c r="A946">
        <v>6335</v>
      </c>
      <c r="B946" s="1">
        <v>40382</v>
      </c>
      <c r="C946" s="1"/>
      <c r="E946" t="b">
        <f>NOT(OR(ISBLANK(tblEmployee[[#This Row],[EndDate]]),tblEmployee[[#This Row],[EndDate]]-tblEmployee[[#This Row],[StartDate]]&gt;90))</f>
        <v>0</v>
      </c>
    </row>
    <row r="947" spans="1:5" x14ac:dyDescent="0.3">
      <c r="A947">
        <v>6336</v>
      </c>
      <c r="B947" s="1">
        <v>41735</v>
      </c>
      <c r="C947" s="1"/>
      <c r="E947" t="b">
        <f>NOT(OR(ISBLANK(tblEmployee[[#This Row],[EndDate]]),tblEmployee[[#This Row],[EndDate]]-tblEmployee[[#This Row],[StartDate]]&gt;90))</f>
        <v>0</v>
      </c>
    </row>
    <row r="948" spans="1:5" x14ac:dyDescent="0.3">
      <c r="A948">
        <v>6339</v>
      </c>
      <c r="B948" s="1">
        <v>41368</v>
      </c>
      <c r="C948" s="1"/>
      <c r="E948" t="b">
        <f>NOT(OR(ISBLANK(tblEmployee[[#This Row],[EndDate]]),tblEmployee[[#This Row],[EndDate]]-tblEmployee[[#This Row],[StartDate]]&gt;90))</f>
        <v>0</v>
      </c>
    </row>
    <row r="949" spans="1:5" x14ac:dyDescent="0.3">
      <c r="A949">
        <v>6342</v>
      </c>
      <c r="B949" s="1">
        <v>37466</v>
      </c>
      <c r="C949" s="1"/>
      <c r="E949" t="b">
        <f>NOT(OR(ISBLANK(tblEmployee[[#This Row],[EndDate]]),tblEmployee[[#This Row],[EndDate]]-tblEmployee[[#This Row],[StartDate]]&gt;90))</f>
        <v>0</v>
      </c>
    </row>
    <row r="950" spans="1:5" x14ac:dyDescent="0.3">
      <c r="A950">
        <v>6350</v>
      </c>
      <c r="B950" s="1">
        <v>41272</v>
      </c>
      <c r="C950" s="1">
        <v>42060</v>
      </c>
      <c r="D950" t="s">
        <v>56</v>
      </c>
      <c r="E950" t="b">
        <f>NOT(OR(ISBLANK(tblEmployee[[#This Row],[EndDate]]),tblEmployee[[#This Row],[EndDate]]-tblEmployee[[#This Row],[StartDate]]&gt;90))</f>
        <v>0</v>
      </c>
    </row>
    <row r="951" spans="1:5" x14ac:dyDescent="0.3">
      <c r="A951">
        <v>6357</v>
      </c>
      <c r="B951" s="1">
        <v>38371</v>
      </c>
      <c r="C951" s="1">
        <v>39105</v>
      </c>
      <c r="D951" t="s">
        <v>26</v>
      </c>
      <c r="E951" t="b">
        <f>NOT(OR(ISBLANK(tblEmployee[[#This Row],[EndDate]]),tblEmployee[[#This Row],[EndDate]]-tblEmployee[[#This Row],[StartDate]]&gt;90))</f>
        <v>0</v>
      </c>
    </row>
    <row r="952" spans="1:5" x14ac:dyDescent="0.3">
      <c r="A952">
        <v>6361</v>
      </c>
      <c r="B952" s="1">
        <v>44086</v>
      </c>
      <c r="C952" s="1"/>
      <c r="E952" t="b">
        <f>NOT(OR(ISBLANK(tblEmployee[[#This Row],[EndDate]]),tblEmployee[[#This Row],[EndDate]]-tblEmployee[[#This Row],[StartDate]]&gt;90))</f>
        <v>0</v>
      </c>
    </row>
    <row r="953" spans="1:5" x14ac:dyDescent="0.3">
      <c r="A953">
        <v>6364</v>
      </c>
      <c r="B953" s="1">
        <v>40520</v>
      </c>
      <c r="C953" s="1">
        <v>42194</v>
      </c>
      <c r="D953" t="s">
        <v>56</v>
      </c>
      <c r="E953" t="b">
        <f>NOT(OR(ISBLANK(tblEmployee[[#This Row],[EndDate]]),tblEmployee[[#This Row],[EndDate]]-tblEmployee[[#This Row],[StartDate]]&gt;90))</f>
        <v>0</v>
      </c>
    </row>
    <row r="954" spans="1:5" x14ac:dyDescent="0.3">
      <c r="A954">
        <v>6367</v>
      </c>
      <c r="B954" s="1">
        <v>42832</v>
      </c>
      <c r="C954" s="1"/>
      <c r="E954" t="b">
        <f>NOT(OR(ISBLANK(tblEmployee[[#This Row],[EndDate]]),tblEmployee[[#This Row],[EndDate]]-tblEmployee[[#This Row],[StartDate]]&gt;90))</f>
        <v>0</v>
      </c>
    </row>
    <row r="955" spans="1:5" x14ac:dyDescent="0.3">
      <c r="A955">
        <v>6375</v>
      </c>
      <c r="B955" s="1">
        <v>43189</v>
      </c>
      <c r="C955" s="1"/>
      <c r="E955" t="b">
        <f>NOT(OR(ISBLANK(tblEmployee[[#This Row],[EndDate]]),tblEmployee[[#This Row],[EndDate]]-tblEmployee[[#This Row],[StartDate]]&gt;90))</f>
        <v>0</v>
      </c>
    </row>
    <row r="956" spans="1:5" x14ac:dyDescent="0.3">
      <c r="A956">
        <v>6380</v>
      </c>
      <c r="B956" s="1">
        <v>38349</v>
      </c>
      <c r="C956" s="1"/>
      <c r="E956" t="b">
        <f>NOT(OR(ISBLANK(tblEmployee[[#This Row],[EndDate]]),tblEmployee[[#This Row],[EndDate]]-tblEmployee[[#This Row],[StartDate]]&gt;90))</f>
        <v>0</v>
      </c>
    </row>
    <row r="957" spans="1:5" x14ac:dyDescent="0.3">
      <c r="A957">
        <v>6381</v>
      </c>
      <c r="B957" s="1">
        <v>43280</v>
      </c>
      <c r="C957" s="1"/>
      <c r="E957" t="b">
        <f>NOT(OR(ISBLANK(tblEmployee[[#This Row],[EndDate]]),tblEmployee[[#This Row],[EndDate]]-tblEmployee[[#This Row],[StartDate]]&gt;90))</f>
        <v>0</v>
      </c>
    </row>
    <row r="958" spans="1:5" x14ac:dyDescent="0.3">
      <c r="A958">
        <v>6382</v>
      </c>
      <c r="B958" s="1">
        <v>42131</v>
      </c>
      <c r="C958" s="1"/>
      <c r="E958" t="b">
        <f>NOT(OR(ISBLANK(tblEmployee[[#This Row],[EndDate]]),tblEmployee[[#This Row],[EndDate]]-tblEmployee[[#This Row],[StartDate]]&gt;90))</f>
        <v>0</v>
      </c>
    </row>
    <row r="959" spans="1:5" x14ac:dyDescent="0.3">
      <c r="A959">
        <v>6389</v>
      </c>
      <c r="B959" s="1">
        <v>42559</v>
      </c>
      <c r="C959" s="1"/>
      <c r="E959" t="b">
        <f>NOT(OR(ISBLANK(tblEmployee[[#This Row],[EndDate]]),tblEmployee[[#This Row],[EndDate]]-tblEmployee[[#This Row],[StartDate]]&gt;90))</f>
        <v>0</v>
      </c>
    </row>
    <row r="960" spans="1:5" x14ac:dyDescent="0.3">
      <c r="A960">
        <v>6396</v>
      </c>
      <c r="B960" s="1">
        <v>37884</v>
      </c>
      <c r="C960" s="1"/>
      <c r="E960" t="b">
        <f>NOT(OR(ISBLANK(tblEmployee[[#This Row],[EndDate]]),tblEmployee[[#This Row],[EndDate]]-tblEmployee[[#This Row],[StartDate]]&gt;90))</f>
        <v>0</v>
      </c>
    </row>
    <row r="961" spans="1:5" x14ac:dyDescent="0.3">
      <c r="A961">
        <v>6401</v>
      </c>
      <c r="B961" s="1">
        <v>40047</v>
      </c>
      <c r="C961" s="1"/>
      <c r="E961" t="b">
        <f>NOT(OR(ISBLANK(tblEmployee[[#This Row],[EndDate]]),tblEmployee[[#This Row],[EndDate]]-tblEmployee[[#This Row],[StartDate]]&gt;90))</f>
        <v>0</v>
      </c>
    </row>
    <row r="962" spans="1:5" x14ac:dyDescent="0.3">
      <c r="A962">
        <v>6404</v>
      </c>
      <c r="B962" s="1">
        <v>42312</v>
      </c>
      <c r="C962" s="1">
        <v>43231</v>
      </c>
      <c r="D962" t="s">
        <v>56</v>
      </c>
      <c r="E962" t="b">
        <f>NOT(OR(ISBLANK(tblEmployee[[#This Row],[EndDate]]),tblEmployee[[#This Row],[EndDate]]-tblEmployee[[#This Row],[StartDate]]&gt;90))</f>
        <v>0</v>
      </c>
    </row>
    <row r="963" spans="1:5" x14ac:dyDescent="0.3">
      <c r="A963">
        <v>6414</v>
      </c>
      <c r="B963" s="1">
        <v>42420</v>
      </c>
      <c r="C963" s="1"/>
      <c r="E963" t="b">
        <f>NOT(OR(ISBLANK(tblEmployee[[#This Row],[EndDate]]),tblEmployee[[#This Row],[EndDate]]-tblEmployee[[#This Row],[StartDate]]&gt;90))</f>
        <v>0</v>
      </c>
    </row>
    <row r="964" spans="1:5" x14ac:dyDescent="0.3">
      <c r="A964">
        <v>6418</v>
      </c>
      <c r="B964" s="1">
        <v>40685</v>
      </c>
      <c r="C964" s="1"/>
      <c r="E964" t="b">
        <f>NOT(OR(ISBLANK(tblEmployee[[#This Row],[EndDate]]),tblEmployee[[#This Row],[EndDate]]-tblEmployee[[#This Row],[StartDate]]&gt;90))</f>
        <v>0</v>
      </c>
    </row>
    <row r="965" spans="1:5" x14ac:dyDescent="0.3">
      <c r="A965">
        <v>6423</v>
      </c>
      <c r="B965" s="1">
        <v>39939</v>
      </c>
      <c r="C965" s="1"/>
      <c r="E965" t="b">
        <f>NOT(OR(ISBLANK(tblEmployee[[#This Row],[EndDate]]),tblEmployee[[#This Row],[EndDate]]-tblEmployee[[#This Row],[StartDate]]&gt;90))</f>
        <v>0</v>
      </c>
    </row>
    <row r="966" spans="1:5" x14ac:dyDescent="0.3">
      <c r="A966">
        <v>6425</v>
      </c>
      <c r="B966" s="1">
        <v>37729</v>
      </c>
      <c r="C966" s="1"/>
      <c r="E966" t="b">
        <f>NOT(OR(ISBLANK(tblEmployee[[#This Row],[EndDate]]),tblEmployee[[#This Row],[EndDate]]-tblEmployee[[#This Row],[StartDate]]&gt;90))</f>
        <v>0</v>
      </c>
    </row>
    <row r="967" spans="1:5" x14ac:dyDescent="0.3">
      <c r="A967">
        <v>6427</v>
      </c>
      <c r="B967" s="1">
        <v>40299</v>
      </c>
      <c r="C967" s="1">
        <v>43723</v>
      </c>
      <c r="D967" t="s">
        <v>31</v>
      </c>
      <c r="E967" t="b">
        <f>NOT(OR(ISBLANK(tblEmployee[[#This Row],[EndDate]]),tblEmployee[[#This Row],[EndDate]]-tblEmployee[[#This Row],[StartDate]]&gt;90))</f>
        <v>0</v>
      </c>
    </row>
    <row r="968" spans="1:5" x14ac:dyDescent="0.3">
      <c r="A968">
        <v>6438</v>
      </c>
      <c r="B968" s="1">
        <v>43046</v>
      </c>
      <c r="C968" s="1">
        <v>43099</v>
      </c>
      <c r="D968" t="s">
        <v>56</v>
      </c>
      <c r="E968" t="b">
        <f>NOT(OR(ISBLANK(tblEmployee[[#This Row],[EndDate]]),tblEmployee[[#This Row],[EndDate]]-tblEmployee[[#This Row],[StartDate]]&gt;90))</f>
        <v>1</v>
      </c>
    </row>
    <row r="969" spans="1:5" x14ac:dyDescent="0.3">
      <c r="A969">
        <v>6440</v>
      </c>
      <c r="B969" s="1">
        <v>38056</v>
      </c>
      <c r="C969" s="1"/>
      <c r="E969" t="b">
        <f>NOT(OR(ISBLANK(tblEmployee[[#This Row],[EndDate]]),tblEmployee[[#This Row],[EndDate]]-tblEmployee[[#This Row],[StartDate]]&gt;90))</f>
        <v>0</v>
      </c>
    </row>
    <row r="970" spans="1:5" x14ac:dyDescent="0.3">
      <c r="A970">
        <v>6443</v>
      </c>
      <c r="B970" s="1">
        <v>41945</v>
      </c>
      <c r="C970" s="1"/>
      <c r="E970" t="b">
        <f>NOT(OR(ISBLANK(tblEmployee[[#This Row],[EndDate]]),tblEmployee[[#This Row],[EndDate]]-tblEmployee[[#This Row],[StartDate]]&gt;90))</f>
        <v>0</v>
      </c>
    </row>
    <row r="971" spans="1:5" x14ac:dyDescent="0.3">
      <c r="A971">
        <v>6451</v>
      </c>
      <c r="B971" s="1">
        <v>40994</v>
      </c>
      <c r="C971" s="1">
        <v>44245</v>
      </c>
      <c r="D971" t="s">
        <v>31</v>
      </c>
      <c r="E971" t="b">
        <f>NOT(OR(ISBLANK(tblEmployee[[#This Row],[EndDate]]),tblEmployee[[#This Row],[EndDate]]-tblEmployee[[#This Row],[StartDate]]&gt;90))</f>
        <v>0</v>
      </c>
    </row>
    <row r="972" spans="1:5" x14ac:dyDescent="0.3">
      <c r="A972">
        <v>6460</v>
      </c>
      <c r="B972" s="1">
        <v>37411</v>
      </c>
      <c r="C972" s="1"/>
      <c r="E972" t="b">
        <f>NOT(OR(ISBLANK(tblEmployee[[#This Row],[EndDate]]),tblEmployee[[#This Row],[EndDate]]-tblEmployee[[#This Row],[StartDate]]&gt;90))</f>
        <v>0</v>
      </c>
    </row>
    <row r="973" spans="1:5" x14ac:dyDescent="0.3">
      <c r="A973">
        <v>6461</v>
      </c>
      <c r="B973" s="1">
        <v>43635</v>
      </c>
      <c r="C973" s="1"/>
      <c r="E973" t="b">
        <f>NOT(OR(ISBLANK(tblEmployee[[#This Row],[EndDate]]),tblEmployee[[#This Row],[EndDate]]-tblEmployee[[#This Row],[StartDate]]&gt;90))</f>
        <v>0</v>
      </c>
    </row>
    <row r="974" spans="1:5" x14ac:dyDescent="0.3">
      <c r="A974">
        <v>6462</v>
      </c>
      <c r="B974" s="1">
        <v>38030</v>
      </c>
      <c r="C974" s="1"/>
      <c r="E974" t="b">
        <f>NOT(OR(ISBLANK(tblEmployee[[#This Row],[EndDate]]),tblEmployee[[#This Row],[EndDate]]-tblEmployee[[#This Row],[StartDate]]&gt;90))</f>
        <v>0</v>
      </c>
    </row>
    <row r="975" spans="1:5" x14ac:dyDescent="0.3">
      <c r="A975">
        <v>6469</v>
      </c>
      <c r="B975" s="1">
        <v>38265</v>
      </c>
      <c r="C975" s="1"/>
      <c r="E975" t="b">
        <f>NOT(OR(ISBLANK(tblEmployee[[#This Row],[EndDate]]),tblEmployee[[#This Row],[EndDate]]-tblEmployee[[#This Row],[StartDate]]&gt;90))</f>
        <v>0</v>
      </c>
    </row>
    <row r="976" spans="1:5" x14ac:dyDescent="0.3">
      <c r="A976">
        <v>6471</v>
      </c>
      <c r="B976" s="1">
        <v>41670</v>
      </c>
      <c r="C976" s="1"/>
      <c r="E976" t="b">
        <f>NOT(OR(ISBLANK(tblEmployee[[#This Row],[EndDate]]),tblEmployee[[#This Row],[EndDate]]-tblEmployee[[#This Row],[StartDate]]&gt;90))</f>
        <v>0</v>
      </c>
    </row>
    <row r="977" spans="1:5" x14ac:dyDescent="0.3">
      <c r="A977">
        <v>6480</v>
      </c>
      <c r="B977" s="1">
        <v>41592</v>
      </c>
      <c r="C977" s="1"/>
      <c r="E977" t="b">
        <f>NOT(OR(ISBLANK(tblEmployee[[#This Row],[EndDate]]),tblEmployee[[#This Row],[EndDate]]-tblEmployee[[#This Row],[StartDate]]&gt;90))</f>
        <v>0</v>
      </c>
    </row>
    <row r="978" spans="1:5" x14ac:dyDescent="0.3">
      <c r="A978">
        <v>6486</v>
      </c>
      <c r="B978" s="1">
        <v>42411</v>
      </c>
      <c r="C978" s="1"/>
      <c r="E978" t="b">
        <f>NOT(OR(ISBLANK(tblEmployee[[#This Row],[EndDate]]),tblEmployee[[#This Row],[EndDate]]-tblEmployee[[#This Row],[StartDate]]&gt;90))</f>
        <v>0</v>
      </c>
    </row>
    <row r="979" spans="1:5" x14ac:dyDescent="0.3">
      <c r="A979">
        <v>6491</v>
      </c>
      <c r="B979" s="1">
        <v>43250</v>
      </c>
      <c r="C979" s="1"/>
      <c r="E979" t="b">
        <f>NOT(OR(ISBLANK(tblEmployee[[#This Row],[EndDate]]),tblEmployee[[#This Row],[EndDate]]-tblEmployee[[#This Row],[StartDate]]&gt;90))</f>
        <v>0</v>
      </c>
    </row>
    <row r="980" spans="1:5" x14ac:dyDescent="0.3">
      <c r="A980">
        <v>6493</v>
      </c>
      <c r="B980" s="1">
        <v>37286</v>
      </c>
      <c r="C980" s="1"/>
      <c r="E980" t="b">
        <f>NOT(OR(ISBLANK(tblEmployee[[#This Row],[EndDate]]),tblEmployee[[#This Row],[EndDate]]-tblEmployee[[#This Row],[StartDate]]&gt;90))</f>
        <v>0</v>
      </c>
    </row>
    <row r="981" spans="1:5" x14ac:dyDescent="0.3">
      <c r="A981">
        <v>6508</v>
      </c>
      <c r="B981" s="1">
        <v>37318</v>
      </c>
      <c r="C981" s="1"/>
      <c r="E981" t="b">
        <f>NOT(OR(ISBLANK(tblEmployee[[#This Row],[EndDate]]),tblEmployee[[#This Row],[EndDate]]-tblEmployee[[#This Row],[StartDate]]&gt;90))</f>
        <v>0</v>
      </c>
    </row>
    <row r="982" spans="1:5" x14ac:dyDescent="0.3">
      <c r="A982">
        <v>6513</v>
      </c>
      <c r="B982" s="1">
        <v>41446</v>
      </c>
      <c r="C982" s="1"/>
      <c r="E982" t="b">
        <f>NOT(OR(ISBLANK(tblEmployee[[#This Row],[EndDate]]),tblEmployee[[#This Row],[EndDate]]-tblEmployee[[#This Row],[StartDate]]&gt;90))</f>
        <v>0</v>
      </c>
    </row>
    <row r="983" spans="1:5" x14ac:dyDescent="0.3">
      <c r="A983">
        <v>6519</v>
      </c>
      <c r="B983" s="1">
        <v>42280</v>
      </c>
      <c r="C983" s="1"/>
      <c r="E983" t="b">
        <f>NOT(OR(ISBLANK(tblEmployee[[#This Row],[EndDate]]),tblEmployee[[#This Row],[EndDate]]-tblEmployee[[#This Row],[StartDate]]&gt;90))</f>
        <v>0</v>
      </c>
    </row>
    <row r="984" spans="1:5" x14ac:dyDescent="0.3">
      <c r="A984">
        <v>6525</v>
      </c>
      <c r="B984" s="1">
        <v>44424</v>
      </c>
      <c r="C984" s="1">
        <v>44545</v>
      </c>
      <c r="D984" t="s">
        <v>25</v>
      </c>
      <c r="E984" t="b">
        <f>NOT(OR(ISBLANK(tblEmployee[[#This Row],[EndDate]]),tblEmployee[[#This Row],[EndDate]]-tblEmployee[[#This Row],[StartDate]]&gt;90))</f>
        <v>0</v>
      </c>
    </row>
    <row r="985" spans="1:5" x14ac:dyDescent="0.3">
      <c r="A985">
        <v>6526</v>
      </c>
      <c r="B985" s="1">
        <v>40855</v>
      </c>
      <c r="C985" s="1"/>
      <c r="E985" t="b">
        <f>NOT(OR(ISBLANK(tblEmployee[[#This Row],[EndDate]]),tblEmployee[[#This Row],[EndDate]]-tblEmployee[[#This Row],[StartDate]]&gt;90))</f>
        <v>0</v>
      </c>
    </row>
    <row r="986" spans="1:5" x14ac:dyDescent="0.3">
      <c r="A986">
        <v>6532</v>
      </c>
      <c r="B986" s="1">
        <v>38109</v>
      </c>
      <c r="C986" s="1"/>
      <c r="E986" t="b">
        <f>NOT(OR(ISBLANK(tblEmployee[[#This Row],[EndDate]]),tblEmployee[[#This Row],[EndDate]]-tblEmployee[[#This Row],[StartDate]]&gt;90))</f>
        <v>0</v>
      </c>
    </row>
    <row r="987" spans="1:5" x14ac:dyDescent="0.3">
      <c r="A987">
        <v>6535</v>
      </c>
      <c r="B987" s="1">
        <v>38298</v>
      </c>
      <c r="C987" s="1">
        <v>42137</v>
      </c>
      <c r="D987" t="s">
        <v>56</v>
      </c>
      <c r="E987" t="b">
        <f>NOT(OR(ISBLANK(tblEmployee[[#This Row],[EndDate]]),tblEmployee[[#This Row],[EndDate]]-tblEmployee[[#This Row],[StartDate]]&gt;90))</f>
        <v>0</v>
      </c>
    </row>
    <row r="988" spans="1:5" x14ac:dyDescent="0.3">
      <c r="A988">
        <v>6538</v>
      </c>
      <c r="B988" s="1">
        <v>42252</v>
      </c>
      <c r="C988" s="1"/>
      <c r="E988" t="b">
        <f>NOT(OR(ISBLANK(tblEmployee[[#This Row],[EndDate]]),tblEmployee[[#This Row],[EndDate]]-tblEmployee[[#This Row],[StartDate]]&gt;90))</f>
        <v>0</v>
      </c>
    </row>
    <row r="989" spans="1:5" x14ac:dyDescent="0.3">
      <c r="A989">
        <v>6539</v>
      </c>
      <c r="B989" s="1">
        <v>41781</v>
      </c>
      <c r="C989" s="1"/>
      <c r="E989" t="b">
        <f>NOT(OR(ISBLANK(tblEmployee[[#This Row],[EndDate]]),tblEmployee[[#This Row],[EndDate]]-tblEmployee[[#This Row],[StartDate]]&gt;90))</f>
        <v>0</v>
      </c>
    </row>
    <row r="990" spans="1:5" x14ac:dyDescent="0.3">
      <c r="A990">
        <v>6557</v>
      </c>
      <c r="B990" s="1">
        <v>42929</v>
      </c>
      <c r="C990" s="1"/>
      <c r="E990" t="b">
        <f>NOT(OR(ISBLANK(tblEmployee[[#This Row],[EndDate]]),tblEmployee[[#This Row],[EndDate]]-tblEmployee[[#This Row],[StartDate]]&gt;90))</f>
        <v>0</v>
      </c>
    </row>
    <row r="991" spans="1:5" x14ac:dyDescent="0.3">
      <c r="A991">
        <v>6561</v>
      </c>
      <c r="B991" s="1">
        <v>37414</v>
      </c>
      <c r="C991" s="1"/>
      <c r="E991" t="b">
        <f>NOT(OR(ISBLANK(tblEmployee[[#This Row],[EndDate]]),tblEmployee[[#This Row],[EndDate]]-tblEmployee[[#This Row],[StartDate]]&gt;90))</f>
        <v>0</v>
      </c>
    </row>
    <row r="992" spans="1:5" x14ac:dyDescent="0.3">
      <c r="A992">
        <v>6562</v>
      </c>
      <c r="B992" s="1">
        <v>37950</v>
      </c>
      <c r="C992" s="1"/>
      <c r="E992" t="b">
        <f>NOT(OR(ISBLANK(tblEmployee[[#This Row],[EndDate]]),tblEmployee[[#This Row],[EndDate]]-tblEmployee[[#This Row],[StartDate]]&gt;90))</f>
        <v>0</v>
      </c>
    </row>
    <row r="993" spans="1:5" x14ac:dyDescent="0.3">
      <c r="A993">
        <v>6567</v>
      </c>
      <c r="B993" s="1">
        <v>38664</v>
      </c>
      <c r="C993" s="1"/>
      <c r="E993" t="b">
        <f>NOT(OR(ISBLANK(tblEmployee[[#This Row],[EndDate]]),tblEmployee[[#This Row],[EndDate]]-tblEmployee[[#This Row],[StartDate]]&gt;90))</f>
        <v>0</v>
      </c>
    </row>
    <row r="994" spans="1:5" x14ac:dyDescent="0.3">
      <c r="A994">
        <v>6572</v>
      </c>
      <c r="B994" s="1">
        <v>44332</v>
      </c>
      <c r="C994" s="1">
        <v>44366</v>
      </c>
      <c r="D994" t="s">
        <v>27</v>
      </c>
      <c r="E994" t="b">
        <f>NOT(OR(ISBLANK(tblEmployee[[#This Row],[EndDate]]),tblEmployee[[#This Row],[EndDate]]-tblEmployee[[#This Row],[StartDate]]&gt;90))</f>
        <v>1</v>
      </c>
    </row>
    <row r="995" spans="1:5" x14ac:dyDescent="0.3">
      <c r="A995">
        <v>6576</v>
      </c>
      <c r="B995" s="1">
        <v>40114</v>
      </c>
      <c r="C995" s="1">
        <v>44255</v>
      </c>
      <c r="D995" t="s">
        <v>27</v>
      </c>
      <c r="E995" t="b">
        <f>NOT(OR(ISBLANK(tblEmployee[[#This Row],[EndDate]]),tblEmployee[[#This Row],[EndDate]]-tblEmployee[[#This Row],[StartDate]]&gt;90))</f>
        <v>0</v>
      </c>
    </row>
    <row r="996" spans="1:5" x14ac:dyDescent="0.3">
      <c r="A996">
        <v>6578</v>
      </c>
      <c r="B996" s="1">
        <v>41800</v>
      </c>
      <c r="C996" s="1"/>
      <c r="E996" t="b">
        <f>NOT(OR(ISBLANK(tblEmployee[[#This Row],[EndDate]]),tblEmployee[[#This Row],[EndDate]]-tblEmployee[[#This Row],[StartDate]]&gt;90))</f>
        <v>0</v>
      </c>
    </row>
    <row r="997" spans="1:5" x14ac:dyDescent="0.3">
      <c r="A997">
        <v>6581</v>
      </c>
      <c r="B997" s="1">
        <v>44157</v>
      </c>
      <c r="C997" s="1"/>
      <c r="E997" t="b">
        <f>NOT(OR(ISBLANK(tblEmployee[[#This Row],[EndDate]]),tblEmployee[[#This Row],[EndDate]]-tblEmployee[[#This Row],[StartDate]]&gt;90))</f>
        <v>0</v>
      </c>
    </row>
    <row r="998" spans="1:5" x14ac:dyDescent="0.3">
      <c r="A998">
        <v>6583</v>
      </c>
      <c r="B998" s="1">
        <v>40638</v>
      </c>
      <c r="C998" s="1"/>
      <c r="E998" t="b">
        <f>NOT(OR(ISBLANK(tblEmployee[[#This Row],[EndDate]]),tblEmployee[[#This Row],[EndDate]]-tblEmployee[[#This Row],[StartDate]]&gt;90))</f>
        <v>0</v>
      </c>
    </row>
    <row r="999" spans="1:5" x14ac:dyDescent="0.3">
      <c r="A999">
        <v>6588</v>
      </c>
      <c r="B999" s="1">
        <v>40488</v>
      </c>
      <c r="C999" s="1">
        <v>41045</v>
      </c>
      <c r="D999" t="s">
        <v>26</v>
      </c>
      <c r="E999" t="b">
        <f>NOT(OR(ISBLANK(tblEmployee[[#This Row],[EndDate]]),tblEmployee[[#This Row],[EndDate]]-tblEmployee[[#This Row],[StartDate]]&gt;90))</f>
        <v>0</v>
      </c>
    </row>
    <row r="1000" spans="1:5" x14ac:dyDescent="0.3">
      <c r="A1000">
        <v>6595</v>
      </c>
      <c r="B1000" s="1">
        <v>41211</v>
      </c>
      <c r="C1000" s="1">
        <v>43365</v>
      </c>
      <c r="D1000" t="s">
        <v>56</v>
      </c>
      <c r="E1000" t="b">
        <f>NOT(OR(ISBLANK(tblEmployee[[#This Row],[EndDate]]),tblEmployee[[#This Row],[EndDate]]-tblEmployee[[#This Row],[StartDate]]&gt;90))</f>
        <v>0</v>
      </c>
    </row>
    <row r="1001" spans="1:5" x14ac:dyDescent="0.3">
      <c r="A1001">
        <v>6602</v>
      </c>
      <c r="B1001" s="1">
        <v>43832</v>
      </c>
      <c r="C1001" s="1">
        <v>44128</v>
      </c>
      <c r="D1001" t="s">
        <v>25</v>
      </c>
      <c r="E1001" t="b">
        <f>NOT(OR(ISBLANK(tblEmployee[[#This Row],[EndDate]]),tblEmployee[[#This Row],[EndDate]]-tblEmployee[[#This Row],[StartDate]]&gt;90))</f>
        <v>0</v>
      </c>
    </row>
    <row r="1002" spans="1:5" x14ac:dyDescent="0.3">
      <c r="A1002">
        <v>6605</v>
      </c>
      <c r="B1002" s="1">
        <v>38927</v>
      </c>
      <c r="C1002" s="1">
        <v>39448</v>
      </c>
      <c r="D1002" t="s">
        <v>31</v>
      </c>
      <c r="E1002" t="b">
        <f>NOT(OR(ISBLANK(tblEmployee[[#This Row],[EndDate]]),tblEmployee[[#This Row],[EndDate]]-tblEmployee[[#This Row],[StartDate]]&gt;90))</f>
        <v>0</v>
      </c>
    </row>
    <row r="1003" spans="1:5" x14ac:dyDescent="0.3">
      <c r="A1003">
        <v>6614</v>
      </c>
      <c r="B1003" s="1">
        <v>40442</v>
      </c>
      <c r="C1003" s="1"/>
      <c r="E1003" t="b">
        <f>NOT(OR(ISBLANK(tblEmployee[[#This Row],[EndDate]]),tblEmployee[[#This Row],[EndDate]]-tblEmployee[[#This Row],[StartDate]]&gt;90))</f>
        <v>0</v>
      </c>
    </row>
    <row r="1004" spans="1:5" x14ac:dyDescent="0.3">
      <c r="A1004">
        <v>6615</v>
      </c>
      <c r="B1004" s="1">
        <v>38639</v>
      </c>
      <c r="C1004" s="1">
        <v>44042</v>
      </c>
      <c r="D1004" t="s">
        <v>25</v>
      </c>
      <c r="E1004" t="b">
        <f>NOT(OR(ISBLANK(tblEmployee[[#This Row],[EndDate]]),tblEmployee[[#This Row],[EndDate]]-tblEmployee[[#This Row],[StartDate]]&gt;90))</f>
        <v>0</v>
      </c>
    </row>
    <row r="1005" spans="1:5" x14ac:dyDescent="0.3">
      <c r="A1005">
        <v>6625</v>
      </c>
      <c r="B1005" s="1">
        <v>39135</v>
      </c>
      <c r="C1005" s="1">
        <v>40651</v>
      </c>
      <c r="D1005" t="s">
        <v>25</v>
      </c>
      <c r="E1005" t="b">
        <f>NOT(OR(ISBLANK(tblEmployee[[#This Row],[EndDate]]),tblEmployee[[#This Row],[EndDate]]-tblEmployee[[#This Row],[StartDate]]&gt;90))</f>
        <v>0</v>
      </c>
    </row>
    <row r="1006" spans="1:5" x14ac:dyDescent="0.3">
      <c r="A1006">
        <v>6632</v>
      </c>
      <c r="B1006" s="1">
        <v>37771</v>
      </c>
      <c r="C1006" s="1"/>
      <c r="E1006" t="b">
        <f>NOT(OR(ISBLANK(tblEmployee[[#This Row],[EndDate]]),tblEmployee[[#This Row],[EndDate]]-tblEmployee[[#This Row],[StartDate]]&gt;90))</f>
        <v>0</v>
      </c>
    </row>
    <row r="1007" spans="1:5" x14ac:dyDescent="0.3">
      <c r="A1007">
        <v>6634</v>
      </c>
      <c r="B1007" s="1">
        <v>37746</v>
      </c>
      <c r="C1007" s="1"/>
      <c r="E1007" t="b">
        <f>NOT(OR(ISBLANK(tblEmployee[[#This Row],[EndDate]]),tblEmployee[[#This Row],[EndDate]]-tblEmployee[[#This Row],[StartDate]]&gt;90))</f>
        <v>0</v>
      </c>
    </row>
    <row r="1008" spans="1:5" x14ac:dyDescent="0.3">
      <c r="A1008">
        <v>6640</v>
      </c>
      <c r="B1008" s="1">
        <v>43272</v>
      </c>
      <c r="C1008" s="1"/>
      <c r="E1008" t="b">
        <f>NOT(OR(ISBLANK(tblEmployee[[#This Row],[EndDate]]),tblEmployee[[#This Row],[EndDate]]-tblEmployee[[#This Row],[StartDate]]&gt;90))</f>
        <v>0</v>
      </c>
    </row>
    <row r="1009" spans="1:5" x14ac:dyDescent="0.3">
      <c r="A1009">
        <v>6645</v>
      </c>
      <c r="B1009" s="1">
        <v>37381</v>
      </c>
      <c r="C1009" s="1"/>
      <c r="E1009" t="b">
        <f>NOT(OR(ISBLANK(tblEmployee[[#This Row],[EndDate]]),tblEmployee[[#This Row],[EndDate]]-tblEmployee[[#This Row],[StartDate]]&gt;90))</f>
        <v>0</v>
      </c>
    </row>
    <row r="1010" spans="1:5" x14ac:dyDescent="0.3">
      <c r="A1010">
        <v>6648</v>
      </c>
      <c r="B1010" s="1">
        <v>39626</v>
      </c>
      <c r="C1010" s="1"/>
      <c r="E1010" t="b">
        <f>NOT(OR(ISBLANK(tblEmployee[[#This Row],[EndDate]]),tblEmployee[[#This Row],[EndDate]]-tblEmployee[[#This Row],[StartDate]]&gt;90))</f>
        <v>0</v>
      </c>
    </row>
    <row r="1011" spans="1:5" x14ac:dyDescent="0.3">
      <c r="A1011">
        <v>6650</v>
      </c>
      <c r="B1011" s="1">
        <v>42800</v>
      </c>
      <c r="C1011" s="1"/>
      <c r="E1011" t="b">
        <f>NOT(OR(ISBLANK(tblEmployee[[#This Row],[EndDate]]),tblEmployee[[#This Row],[EndDate]]-tblEmployee[[#This Row],[StartDate]]&gt;90))</f>
        <v>0</v>
      </c>
    </row>
    <row r="1012" spans="1:5" x14ac:dyDescent="0.3">
      <c r="A1012">
        <v>6658</v>
      </c>
      <c r="B1012" s="1">
        <v>39567</v>
      </c>
      <c r="C1012" s="1"/>
      <c r="E1012" t="b">
        <f>NOT(OR(ISBLANK(tblEmployee[[#This Row],[EndDate]]),tblEmployee[[#This Row],[EndDate]]-tblEmployee[[#This Row],[StartDate]]&gt;90))</f>
        <v>0</v>
      </c>
    </row>
    <row r="1013" spans="1:5" x14ac:dyDescent="0.3">
      <c r="A1013">
        <v>6666</v>
      </c>
      <c r="B1013" s="1">
        <v>42250</v>
      </c>
      <c r="C1013" s="1"/>
      <c r="E1013" t="b">
        <f>NOT(OR(ISBLANK(tblEmployee[[#This Row],[EndDate]]),tblEmployee[[#This Row],[EndDate]]-tblEmployee[[#This Row],[StartDate]]&gt;90))</f>
        <v>0</v>
      </c>
    </row>
    <row r="1014" spans="1:5" x14ac:dyDescent="0.3">
      <c r="A1014">
        <v>6668</v>
      </c>
      <c r="B1014" s="1">
        <v>42621</v>
      </c>
      <c r="C1014" s="1"/>
      <c r="E1014" t="b">
        <f>NOT(OR(ISBLANK(tblEmployee[[#This Row],[EndDate]]),tblEmployee[[#This Row],[EndDate]]-tblEmployee[[#This Row],[StartDate]]&gt;90))</f>
        <v>0</v>
      </c>
    </row>
    <row r="1015" spans="1:5" x14ac:dyDescent="0.3">
      <c r="A1015">
        <v>6669</v>
      </c>
      <c r="B1015" s="1">
        <v>38986</v>
      </c>
      <c r="C1015" s="1"/>
      <c r="E1015" t="b">
        <f>NOT(OR(ISBLANK(tblEmployee[[#This Row],[EndDate]]),tblEmployee[[#This Row],[EndDate]]-tblEmployee[[#This Row],[StartDate]]&gt;90))</f>
        <v>0</v>
      </c>
    </row>
    <row r="1016" spans="1:5" x14ac:dyDescent="0.3">
      <c r="A1016">
        <v>6679</v>
      </c>
      <c r="B1016" s="1">
        <v>39250</v>
      </c>
      <c r="C1016" s="1"/>
      <c r="E1016" t="b">
        <f>NOT(OR(ISBLANK(tblEmployee[[#This Row],[EndDate]]),tblEmployee[[#This Row],[EndDate]]-tblEmployee[[#This Row],[StartDate]]&gt;90))</f>
        <v>0</v>
      </c>
    </row>
    <row r="1017" spans="1:5" x14ac:dyDescent="0.3">
      <c r="A1017">
        <v>6685</v>
      </c>
      <c r="B1017" s="1">
        <v>38054</v>
      </c>
      <c r="C1017" s="1">
        <v>42616</v>
      </c>
      <c r="D1017" t="s">
        <v>25</v>
      </c>
      <c r="E1017" t="b">
        <f>NOT(OR(ISBLANK(tblEmployee[[#This Row],[EndDate]]),tblEmployee[[#This Row],[EndDate]]-tblEmployee[[#This Row],[StartDate]]&gt;90))</f>
        <v>0</v>
      </c>
    </row>
    <row r="1018" spans="1:5" x14ac:dyDescent="0.3">
      <c r="A1018">
        <v>6696</v>
      </c>
      <c r="B1018" s="1">
        <v>39927</v>
      </c>
      <c r="C1018" s="1">
        <v>40433</v>
      </c>
      <c r="D1018" t="s">
        <v>25</v>
      </c>
      <c r="E1018" t="b">
        <f>NOT(OR(ISBLANK(tblEmployee[[#This Row],[EndDate]]),tblEmployee[[#This Row],[EndDate]]-tblEmployee[[#This Row],[StartDate]]&gt;90))</f>
        <v>0</v>
      </c>
    </row>
    <row r="1019" spans="1:5" x14ac:dyDescent="0.3">
      <c r="A1019">
        <v>6697</v>
      </c>
      <c r="B1019" s="1">
        <v>41304</v>
      </c>
      <c r="C1019" s="1"/>
      <c r="E1019" t="b">
        <f>NOT(OR(ISBLANK(tblEmployee[[#This Row],[EndDate]]),tblEmployee[[#This Row],[EndDate]]-tblEmployee[[#This Row],[StartDate]]&gt;90))</f>
        <v>0</v>
      </c>
    </row>
    <row r="1020" spans="1:5" x14ac:dyDescent="0.3">
      <c r="A1020">
        <v>6698</v>
      </c>
      <c r="B1020" s="1">
        <v>42009</v>
      </c>
      <c r="C1020" s="1"/>
      <c r="E1020" t="b">
        <f>NOT(OR(ISBLANK(tblEmployee[[#This Row],[EndDate]]),tblEmployee[[#This Row],[EndDate]]-tblEmployee[[#This Row],[StartDate]]&gt;90))</f>
        <v>0</v>
      </c>
    </row>
    <row r="1021" spans="1:5" x14ac:dyDescent="0.3">
      <c r="A1021">
        <v>6706</v>
      </c>
      <c r="B1021" s="1">
        <v>43733</v>
      </c>
      <c r="C1021" s="1"/>
      <c r="E1021" t="b">
        <f>NOT(OR(ISBLANK(tblEmployee[[#This Row],[EndDate]]),tblEmployee[[#This Row],[EndDate]]-tblEmployee[[#This Row],[StartDate]]&gt;90))</f>
        <v>0</v>
      </c>
    </row>
    <row r="1022" spans="1:5" x14ac:dyDescent="0.3">
      <c r="A1022">
        <v>6707</v>
      </c>
      <c r="B1022" s="1">
        <v>38557</v>
      </c>
      <c r="C1022" s="1"/>
      <c r="E1022" t="b">
        <f>NOT(OR(ISBLANK(tblEmployee[[#This Row],[EndDate]]),tblEmployee[[#This Row],[EndDate]]-tblEmployee[[#This Row],[StartDate]]&gt;90))</f>
        <v>0</v>
      </c>
    </row>
    <row r="1023" spans="1:5" x14ac:dyDescent="0.3">
      <c r="A1023">
        <v>6709</v>
      </c>
      <c r="B1023" s="1">
        <v>42397</v>
      </c>
      <c r="C1023" s="1"/>
      <c r="E1023" t="b">
        <f>NOT(OR(ISBLANK(tblEmployee[[#This Row],[EndDate]]),tblEmployee[[#This Row],[EndDate]]-tblEmployee[[#This Row],[StartDate]]&gt;90))</f>
        <v>0</v>
      </c>
    </row>
    <row r="1024" spans="1:5" x14ac:dyDescent="0.3">
      <c r="A1024">
        <v>6711</v>
      </c>
      <c r="B1024" s="1">
        <v>40379</v>
      </c>
      <c r="C1024" s="1"/>
      <c r="E1024" t="b">
        <f>NOT(OR(ISBLANK(tblEmployee[[#This Row],[EndDate]]),tblEmployee[[#This Row],[EndDate]]-tblEmployee[[#This Row],[StartDate]]&gt;90))</f>
        <v>0</v>
      </c>
    </row>
    <row r="1025" spans="1:5" x14ac:dyDescent="0.3">
      <c r="A1025">
        <v>6729</v>
      </c>
      <c r="B1025" s="1">
        <v>40442</v>
      </c>
      <c r="C1025" s="1">
        <v>44021</v>
      </c>
      <c r="D1025" t="s">
        <v>31</v>
      </c>
      <c r="E1025" t="b">
        <f>NOT(OR(ISBLANK(tblEmployee[[#This Row],[EndDate]]),tblEmployee[[#This Row],[EndDate]]-tblEmployee[[#This Row],[StartDate]]&gt;90))</f>
        <v>0</v>
      </c>
    </row>
    <row r="1026" spans="1:5" x14ac:dyDescent="0.3">
      <c r="A1026">
        <v>6741</v>
      </c>
      <c r="B1026" s="1">
        <v>43854</v>
      </c>
      <c r="C1026" s="1"/>
      <c r="E1026" t="b">
        <f>NOT(OR(ISBLANK(tblEmployee[[#This Row],[EndDate]]),tblEmployee[[#This Row],[EndDate]]-tblEmployee[[#This Row],[StartDate]]&gt;90))</f>
        <v>0</v>
      </c>
    </row>
    <row r="1027" spans="1:5" x14ac:dyDescent="0.3">
      <c r="A1027">
        <v>6768</v>
      </c>
      <c r="B1027" s="1">
        <v>39427</v>
      </c>
      <c r="C1027" s="1">
        <v>41442</v>
      </c>
      <c r="D1027" t="s">
        <v>30</v>
      </c>
      <c r="E1027" t="b">
        <f>NOT(OR(ISBLANK(tblEmployee[[#This Row],[EndDate]]),tblEmployee[[#This Row],[EndDate]]-tblEmployee[[#This Row],[StartDate]]&gt;90))</f>
        <v>0</v>
      </c>
    </row>
    <row r="1028" spans="1:5" x14ac:dyDescent="0.3">
      <c r="A1028">
        <v>6770</v>
      </c>
      <c r="B1028" s="1">
        <v>44116</v>
      </c>
      <c r="C1028" s="1"/>
      <c r="E1028" t="b">
        <f>NOT(OR(ISBLANK(tblEmployee[[#This Row],[EndDate]]),tblEmployee[[#This Row],[EndDate]]-tblEmployee[[#This Row],[StartDate]]&gt;90))</f>
        <v>0</v>
      </c>
    </row>
    <row r="1029" spans="1:5" x14ac:dyDescent="0.3">
      <c r="A1029">
        <v>6774</v>
      </c>
      <c r="B1029" s="1">
        <v>42821</v>
      </c>
      <c r="C1029" s="1">
        <v>43650</v>
      </c>
      <c r="D1029" t="s">
        <v>28</v>
      </c>
      <c r="E1029" t="b">
        <f>NOT(OR(ISBLANK(tblEmployee[[#This Row],[EndDate]]),tblEmployee[[#This Row],[EndDate]]-tblEmployee[[#This Row],[StartDate]]&gt;90))</f>
        <v>0</v>
      </c>
    </row>
    <row r="1030" spans="1:5" x14ac:dyDescent="0.3">
      <c r="A1030">
        <v>6779</v>
      </c>
      <c r="B1030" s="1">
        <v>44134</v>
      </c>
      <c r="C1030" s="1"/>
      <c r="E1030" t="b">
        <f>NOT(OR(ISBLANK(tblEmployee[[#This Row],[EndDate]]),tblEmployee[[#This Row],[EndDate]]-tblEmployee[[#This Row],[StartDate]]&gt;90))</f>
        <v>0</v>
      </c>
    </row>
    <row r="1031" spans="1:5" x14ac:dyDescent="0.3">
      <c r="A1031">
        <v>6787</v>
      </c>
      <c r="B1031" s="1">
        <v>37714</v>
      </c>
      <c r="C1031" s="1"/>
      <c r="E1031" t="b">
        <f>NOT(OR(ISBLANK(tblEmployee[[#This Row],[EndDate]]),tblEmployee[[#This Row],[EndDate]]-tblEmployee[[#This Row],[StartDate]]&gt;90))</f>
        <v>0</v>
      </c>
    </row>
    <row r="1032" spans="1:5" x14ac:dyDescent="0.3">
      <c r="A1032">
        <v>6806</v>
      </c>
      <c r="B1032" s="1">
        <v>37821</v>
      </c>
      <c r="C1032" s="1"/>
      <c r="E1032" t="b">
        <f>NOT(OR(ISBLANK(tblEmployee[[#This Row],[EndDate]]),tblEmployee[[#This Row],[EndDate]]-tblEmployee[[#This Row],[StartDate]]&gt;90))</f>
        <v>0</v>
      </c>
    </row>
    <row r="1033" spans="1:5" x14ac:dyDescent="0.3">
      <c r="A1033">
        <v>6810</v>
      </c>
      <c r="B1033" s="1">
        <v>41065</v>
      </c>
      <c r="C1033" s="1">
        <v>44343</v>
      </c>
      <c r="D1033" t="s">
        <v>30</v>
      </c>
      <c r="E1033" t="b">
        <f>NOT(OR(ISBLANK(tblEmployee[[#This Row],[EndDate]]),tblEmployee[[#This Row],[EndDate]]-tblEmployee[[#This Row],[StartDate]]&gt;90))</f>
        <v>0</v>
      </c>
    </row>
    <row r="1034" spans="1:5" x14ac:dyDescent="0.3">
      <c r="A1034">
        <v>6813</v>
      </c>
      <c r="B1034" s="1">
        <v>40803</v>
      </c>
      <c r="C1034" s="1"/>
      <c r="E1034" t="b">
        <f>NOT(OR(ISBLANK(tblEmployee[[#This Row],[EndDate]]),tblEmployee[[#This Row],[EndDate]]-tblEmployee[[#This Row],[StartDate]]&gt;90))</f>
        <v>0</v>
      </c>
    </row>
    <row r="1035" spans="1:5" x14ac:dyDescent="0.3">
      <c r="A1035">
        <v>6824</v>
      </c>
      <c r="B1035" s="1">
        <v>37882</v>
      </c>
      <c r="C1035" s="1"/>
      <c r="E1035" t="b">
        <f>NOT(OR(ISBLANK(tblEmployee[[#This Row],[EndDate]]),tblEmployee[[#This Row],[EndDate]]-tblEmployee[[#This Row],[StartDate]]&gt;90))</f>
        <v>0</v>
      </c>
    </row>
    <row r="1036" spans="1:5" x14ac:dyDescent="0.3">
      <c r="A1036">
        <v>6829</v>
      </c>
      <c r="B1036" s="1">
        <v>42573</v>
      </c>
      <c r="C1036" s="1"/>
      <c r="E1036" t="b">
        <f>NOT(OR(ISBLANK(tblEmployee[[#This Row],[EndDate]]),tblEmployee[[#This Row],[EndDate]]-tblEmployee[[#This Row],[StartDate]]&gt;90))</f>
        <v>0</v>
      </c>
    </row>
    <row r="1037" spans="1:5" x14ac:dyDescent="0.3">
      <c r="A1037">
        <v>6830</v>
      </c>
      <c r="B1037" s="1">
        <v>38033</v>
      </c>
      <c r="C1037" s="1"/>
      <c r="E1037" t="b">
        <f>NOT(OR(ISBLANK(tblEmployee[[#This Row],[EndDate]]),tblEmployee[[#This Row],[EndDate]]-tblEmployee[[#This Row],[StartDate]]&gt;90))</f>
        <v>0</v>
      </c>
    </row>
    <row r="1038" spans="1:5" x14ac:dyDescent="0.3">
      <c r="A1038">
        <v>6842</v>
      </c>
      <c r="B1038" s="1">
        <v>42896</v>
      </c>
      <c r="C1038" s="1"/>
      <c r="E1038" t="b">
        <f>NOT(OR(ISBLANK(tblEmployee[[#This Row],[EndDate]]),tblEmployee[[#This Row],[EndDate]]-tblEmployee[[#This Row],[StartDate]]&gt;90))</f>
        <v>0</v>
      </c>
    </row>
    <row r="1039" spans="1:5" x14ac:dyDescent="0.3">
      <c r="A1039">
        <v>6843</v>
      </c>
      <c r="B1039" s="1">
        <v>40745</v>
      </c>
      <c r="C1039" s="1"/>
      <c r="E1039" t="b">
        <f>NOT(OR(ISBLANK(tblEmployee[[#This Row],[EndDate]]),tblEmployee[[#This Row],[EndDate]]-tblEmployee[[#This Row],[StartDate]]&gt;90))</f>
        <v>0</v>
      </c>
    </row>
    <row r="1040" spans="1:5" x14ac:dyDescent="0.3">
      <c r="A1040">
        <v>6849</v>
      </c>
      <c r="B1040" s="1">
        <v>41337</v>
      </c>
      <c r="C1040" s="1"/>
      <c r="E1040" t="b">
        <f>NOT(OR(ISBLANK(tblEmployee[[#This Row],[EndDate]]),tblEmployee[[#This Row],[EndDate]]-tblEmployee[[#This Row],[StartDate]]&gt;90))</f>
        <v>0</v>
      </c>
    </row>
    <row r="1041" spans="1:5" x14ac:dyDescent="0.3">
      <c r="A1041">
        <v>6850</v>
      </c>
      <c r="B1041" s="1">
        <v>42789</v>
      </c>
      <c r="C1041" s="1"/>
      <c r="E1041" t="b">
        <f>NOT(OR(ISBLANK(tblEmployee[[#This Row],[EndDate]]),tblEmployee[[#This Row],[EndDate]]-tblEmployee[[#This Row],[StartDate]]&gt;90))</f>
        <v>0</v>
      </c>
    </row>
    <row r="1042" spans="1:5" x14ac:dyDescent="0.3">
      <c r="A1042">
        <v>6858</v>
      </c>
      <c r="B1042" s="1">
        <v>41871</v>
      </c>
      <c r="C1042" s="1"/>
      <c r="E1042" t="b">
        <f>NOT(OR(ISBLANK(tblEmployee[[#This Row],[EndDate]]),tblEmployee[[#This Row],[EndDate]]-tblEmployee[[#This Row],[StartDate]]&gt;90))</f>
        <v>0</v>
      </c>
    </row>
    <row r="1043" spans="1:5" x14ac:dyDescent="0.3">
      <c r="A1043">
        <v>6866</v>
      </c>
      <c r="B1043" s="1">
        <v>40806</v>
      </c>
      <c r="C1043" s="1">
        <v>41561</v>
      </c>
      <c r="D1043" t="s">
        <v>56</v>
      </c>
      <c r="E1043" t="b">
        <f>NOT(OR(ISBLANK(tblEmployee[[#This Row],[EndDate]]),tblEmployee[[#This Row],[EndDate]]-tblEmployee[[#This Row],[StartDate]]&gt;90))</f>
        <v>0</v>
      </c>
    </row>
    <row r="1044" spans="1:5" x14ac:dyDescent="0.3">
      <c r="A1044">
        <v>6871</v>
      </c>
      <c r="B1044" s="1">
        <v>41468</v>
      </c>
      <c r="C1044" s="1">
        <v>44464</v>
      </c>
      <c r="D1044" t="s">
        <v>25</v>
      </c>
      <c r="E1044" t="b">
        <f>NOT(OR(ISBLANK(tblEmployee[[#This Row],[EndDate]]),tblEmployee[[#This Row],[EndDate]]-tblEmployee[[#This Row],[StartDate]]&gt;90))</f>
        <v>0</v>
      </c>
    </row>
    <row r="1045" spans="1:5" x14ac:dyDescent="0.3">
      <c r="A1045">
        <v>6874</v>
      </c>
      <c r="B1045" s="1">
        <v>41150</v>
      </c>
      <c r="C1045" s="1"/>
      <c r="E1045" t="b">
        <f>NOT(OR(ISBLANK(tblEmployee[[#This Row],[EndDate]]),tblEmployee[[#This Row],[EndDate]]-tblEmployee[[#This Row],[StartDate]]&gt;90))</f>
        <v>0</v>
      </c>
    </row>
    <row r="1046" spans="1:5" x14ac:dyDescent="0.3">
      <c r="A1046">
        <v>6880</v>
      </c>
      <c r="B1046" s="1">
        <v>42359</v>
      </c>
      <c r="C1046" s="1"/>
      <c r="E1046" t="b">
        <f>NOT(OR(ISBLANK(tblEmployee[[#This Row],[EndDate]]),tblEmployee[[#This Row],[EndDate]]-tblEmployee[[#This Row],[StartDate]]&gt;90))</f>
        <v>0</v>
      </c>
    </row>
    <row r="1047" spans="1:5" x14ac:dyDescent="0.3">
      <c r="A1047">
        <v>6887</v>
      </c>
      <c r="B1047" s="1">
        <v>39825</v>
      </c>
      <c r="C1047" s="1"/>
      <c r="E1047" t="b">
        <f>NOT(OR(ISBLANK(tblEmployee[[#This Row],[EndDate]]),tblEmployee[[#This Row],[EndDate]]-tblEmployee[[#This Row],[StartDate]]&gt;90))</f>
        <v>0</v>
      </c>
    </row>
    <row r="1048" spans="1:5" x14ac:dyDescent="0.3">
      <c r="A1048">
        <v>6890</v>
      </c>
      <c r="B1048" s="1">
        <v>39739</v>
      </c>
      <c r="C1048" s="1"/>
      <c r="E1048" t="b">
        <f>NOT(OR(ISBLANK(tblEmployee[[#This Row],[EndDate]]),tblEmployee[[#This Row],[EndDate]]-tblEmployee[[#This Row],[StartDate]]&gt;90))</f>
        <v>0</v>
      </c>
    </row>
    <row r="1049" spans="1:5" x14ac:dyDescent="0.3">
      <c r="A1049">
        <v>6893</v>
      </c>
      <c r="B1049" s="1">
        <v>39960</v>
      </c>
      <c r="C1049" s="1"/>
      <c r="E1049" t="b">
        <f>NOT(OR(ISBLANK(tblEmployee[[#This Row],[EndDate]]),tblEmployee[[#This Row],[EndDate]]-tblEmployee[[#This Row],[StartDate]]&gt;90))</f>
        <v>0</v>
      </c>
    </row>
    <row r="1050" spans="1:5" x14ac:dyDescent="0.3">
      <c r="A1050">
        <v>6904</v>
      </c>
      <c r="B1050" s="1">
        <v>43249</v>
      </c>
      <c r="C1050" s="1"/>
      <c r="E1050" t="b">
        <f>NOT(OR(ISBLANK(tblEmployee[[#This Row],[EndDate]]),tblEmployee[[#This Row],[EndDate]]-tblEmployee[[#This Row],[StartDate]]&gt;90))</f>
        <v>0</v>
      </c>
    </row>
    <row r="1051" spans="1:5" x14ac:dyDescent="0.3">
      <c r="A1051">
        <v>6907</v>
      </c>
      <c r="B1051" s="1">
        <v>41255</v>
      </c>
      <c r="C1051" s="1"/>
      <c r="E1051" t="b">
        <f>NOT(OR(ISBLANK(tblEmployee[[#This Row],[EndDate]]),tblEmployee[[#This Row],[EndDate]]-tblEmployee[[#This Row],[StartDate]]&gt;90))</f>
        <v>0</v>
      </c>
    </row>
    <row r="1052" spans="1:5" x14ac:dyDescent="0.3">
      <c r="A1052">
        <v>6909</v>
      </c>
      <c r="B1052" s="1">
        <v>42385</v>
      </c>
      <c r="C1052" s="1">
        <v>43821</v>
      </c>
      <c r="D1052" t="s">
        <v>25</v>
      </c>
      <c r="E1052" t="b">
        <f>NOT(OR(ISBLANK(tblEmployee[[#This Row],[EndDate]]),tblEmployee[[#This Row],[EndDate]]-tblEmployee[[#This Row],[StartDate]]&gt;90))</f>
        <v>0</v>
      </c>
    </row>
    <row r="1053" spans="1:5" x14ac:dyDescent="0.3">
      <c r="A1053">
        <v>6913</v>
      </c>
      <c r="B1053" s="1">
        <v>43313</v>
      </c>
      <c r="C1053" s="1"/>
      <c r="E1053" t="b">
        <f>NOT(OR(ISBLANK(tblEmployee[[#This Row],[EndDate]]),tblEmployee[[#This Row],[EndDate]]-tblEmployee[[#This Row],[StartDate]]&gt;90))</f>
        <v>0</v>
      </c>
    </row>
    <row r="1054" spans="1:5" x14ac:dyDescent="0.3">
      <c r="A1054">
        <v>6915</v>
      </c>
      <c r="B1054" s="1">
        <v>39351</v>
      </c>
      <c r="C1054" s="1"/>
      <c r="E1054" t="b">
        <f>NOT(OR(ISBLANK(tblEmployee[[#This Row],[EndDate]]),tblEmployee[[#This Row],[EndDate]]-tblEmployee[[#This Row],[StartDate]]&gt;90))</f>
        <v>0</v>
      </c>
    </row>
    <row r="1055" spans="1:5" x14ac:dyDescent="0.3">
      <c r="A1055">
        <v>6921</v>
      </c>
      <c r="B1055" s="1">
        <v>38168</v>
      </c>
      <c r="C1055" s="1"/>
      <c r="E1055" t="b">
        <f>NOT(OR(ISBLANK(tblEmployee[[#This Row],[EndDate]]),tblEmployee[[#This Row],[EndDate]]-tblEmployee[[#This Row],[StartDate]]&gt;90))</f>
        <v>0</v>
      </c>
    </row>
    <row r="1056" spans="1:5" x14ac:dyDescent="0.3">
      <c r="A1056">
        <v>6928</v>
      </c>
      <c r="B1056" s="1">
        <v>39401</v>
      </c>
      <c r="C1056" s="1">
        <v>41197</v>
      </c>
      <c r="D1056" t="s">
        <v>26</v>
      </c>
      <c r="E1056" t="b">
        <f>NOT(OR(ISBLANK(tblEmployee[[#This Row],[EndDate]]),tblEmployee[[#This Row],[EndDate]]-tblEmployee[[#This Row],[StartDate]]&gt;90))</f>
        <v>0</v>
      </c>
    </row>
    <row r="1057" spans="1:5" x14ac:dyDescent="0.3">
      <c r="A1057">
        <v>6939</v>
      </c>
      <c r="B1057" s="1">
        <v>44238</v>
      </c>
      <c r="C1057" s="1">
        <v>44358</v>
      </c>
      <c r="D1057" t="s">
        <v>29</v>
      </c>
      <c r="E1057" t="b">
        <f>NOT(OR(ISBLANK(tblEmployee[[#This Row],[EndDate]]),tblEmployee[[#This Row],[EndDate]]-tblEmployee[[#This Row],[StartDate]]&gt;90))</f>
        <v>0</v>
      </c>
    </row>
    <row r="1058" spans="1:5" x14ac:dyDescent="0.3">
      <c r="A1058">
        <v>6942</v>
      </c>
      <c r="B1058" s="1">
        <v>43301</v>
      </c>
      <c r="C1058" s="1"/>
      <c r="E1058" t="b">
        <f>NOT(OR(ISBLANK(tblEmployee[[#This Row],[EndDate]]),tblEmployee[[#This Row],[EndDate]]-tblEmployee[[#This Row],[StartDate]]&gt;90))</f>
        <v>0</v>
      </c>
    </row>
    <row r="1059" spans="1:5" x14ac:dyDescent="0.3">
      <c r="A1059">
        <v>6946</v>
      </c>
      <c r="B1059" s="1">
        <v>37300</v>
      </c>
      <c r="C1059" s="1"/>
      <c r="E1059" t="b">
        <f>NOT(OR(ISBLANK(tblEmployee[[#This Row],[EndDate]]),tblEmployee[[#This Row],[EndDate]]-tblEmployee[[#This Row],[StartDate]]&gt;90))</f>
        <v>0</v>
      </c>
    </row>
    <row r="1060" spans="1:5" x14ac:dyDescent="0.3">
      <c r="A1060">
        <v>6951</v>
      </c>
      <c r="B1060" s="1">
        <v>38393</v>
      </c>
      <c r="C1060" s="1">
        <v>43026</v>
      </c>
      <c r="D1060" t="s">
        <v>56</v>
      </c>
      <c r="E1060" t="b">
        <f>NOT(OR(ISBLANK(tblEmployee[[#This Row],[EndDate]]),tblEmployee[[#This Row],[EndDate]]-tblEmployee[[#This Row],[StartDate]]&gt;90))</f>
        <v>0</v>
      </c>
    </row>
    <row r="1061" spans="1:5" x14ac:dyDescent="0.3">
      <c r="A1061">
        <v>6957</v>
      </c>
      <c r="B1061" s="1">
        <v>43312</v>
      </c>
      <c r="C1061" s="1"/>
      <c r="E1061" t="b">
        <f>NOT(OR(ISBLANK(tblEmployee[[#This Row],[EndDate]]),tblEmployee[[#This Row],[EndDate]]-tblEmployee[[#This Row],[StartDate]]&gt;90))</f>
        <v>0</v>
      </c>
    </row>
    <row r="1062" spans="1:5" x14ac:dyDescent="0.3">
      <c r="A1062">
        <v>6965</v>
      </c>
      <c r="B1062" s="1">
        <v>38008</v>
      </c>
      <c r="C1062" s="1"/>
      <c r="E1062" t="b">
        <f>NOT(OR(ISBLANK(tblEmployee[[#This Row],[EndDate]]),tblEmployee[[#This Row],[EndDate]]-tblEmployee[[#This Row],[StartDate]]&gt;90))</f>
        <v>0</v>
      </c>
    </row>
    <row r="1063" spans="1:5" x14ac:dyDescent="0.3">
      <c r="A1063">
        <v>6977</v>
      </c>
      <c r="B1063" s="1">
        <v>38681</v>
      </c>
      <c r="C1063" s="1"/>
      <c r="E1063" t="b">
        <f>NOT(OR(ISBLANK(tblEmployee[[#This Row],[EndDate]]),tblEmployee[[#This Row],[EndDate]]-tblEmployee[[#This Row],[StartDate]]&gt;90))</f>
        <v>0</v>
      </c>
    </row>
    <row r="1064" spans="1:5" x14ac:dyDescent="0.3">
      <c r="A1064">
        <v>6982</v>
      </c>
      <c r="B1064" s="1">
        <v>37403</v>
      </c>
      <c r="C1064" s="1"/>
      <c r="E1064" t="b">
        <f>NOT(OR(ISBLANK(tblEmployee[[#This Row],[EndDate]]),tblEmployee[[#This Row],[EndDate]]-tblEmployee[[#This Row],[StartDate]]&gt;90))</f>
        <v>0</v>
      </c>
    </row>
    <row r="1065" spans="1:5" x14ac:dyDescent="0.3">
      <c r="A1065">
        <v>6983</v>
      </c>
      <c r="B1065" s="1">
        <v>42747</v>
      </c>
      <c r="C1065" s="1"/>
      <c r="E1065" t="b">
        <f>NOT(OR(ISBLANK(tblEmployee[[#This Row],[EndDate]]),tblEmployee[[#This Row],[EndDate]]-tblEmployee[[#This Row],[StartDate]]&gt;90))</f>
        <v>0</v>
      </c>
    </row>
    <row r="1066" spans="1:5" x14ac:dyDescent="0.3">
      <c r="A1066">
        <v>6984</v>
      </c>
      <c r="B1066" s="1">
        <v>43407</v>
      </c>
      <c r="C1066" s="1"/>
      <c r="E1066" t="b">
        <f>NOT(OR(ISBLANK(tblEmployee[[#This Row],[EndDate]]),tblEmployee[[#This Row],[EndDate]]-tblEmployee[[#This Row],[StartDate]]&gt;90))</f>
        <v>0</v>
      </c>
    </row>
    <row r="1067" spans="1:5" x14ac:dyDescent="0.3">
      <c r="A1067">
        <v>6989</v>
      </c>
      <c r="B1067" s="1">
        <v>41407</v>
      </c>
      <c r="C1067" s="1"/>
      <c r="E1067" t="b">
        <f>NOT(OR(ISBLANK(tblEmployee[[#This Row],[EndDate]]),tblEmployee[[#This Row],[EndDate]]-tblEmployee[[#This Row],[StartDate]]&gt;90))</f>
        <v>0</v>
      </c>
    </row>
    <row r="1068" spans="1:5" x14ac:dyDescent="0.3">
      <c r="A1068">
        <v>6997</v>
      </c>
      <c r="B1068" s="1">
        <v>38448</v>
      </c>
      <c r="C1068" s="1"/>
      <c r="E1068" t="b">
        <f>NOT(OR(ISBLANK(tblEmployee[[#This Row],[EndDate]]),tblEmployee[[#This Row],[EndDate]]-tblEmployee[[#This Row],[StartDate]]&gt;90))</f>
        <v>0</v>
      </c>
    </row>
    <row r="1069" spans="1:5" x14ac:dyDescent="0.3">
      <c r="A1069">
        <v>6999</v>
      </c>
      <c r="B1069" s="1">
        <v>37774</v>
      </c>
      <c r="C1069" s="1"/>
      <c r="E1069" t="b">
        <f>NOT(OR(ISBLANK(tblEmployee[[#This Row],[EndDate]]),tblEmployee[[#This Row],[EndDate]]-tblEmployee[[#This Row],[StartDate]]&gt;90))</f>
        <v>0</v>
      </c>
    </row>
    <row r="1070" spans="1:5" x14ac:dyDescent="0.3">
      <c r="A1070">
        <v>7007</v>
      </c>
      <c r="B1070" s="1">
        <v>38108</v>
      </c>
      <c r="C1070" s="1">
        <v>41525</v>
      </c>
      <c r="D1070" t="s">
        <v>30</v>
      </c>
      <c r="E1070" t="b">
        <f>NOT(OR(ISBLANK(tblEmployee[[#This Row],[EndDate]]),tblEmployee[[#This Row],[EndDate]]-tblEmployee[[#This Row],[StartDate]]&gt;90))</f>
        <v>0</v>
      </c>
    </row>
    <row r="1071" spans="1:5" x14ac:dyDescent="0.3">
      <c r="A1071">
        <v>7016</v>
      </c>
      <c r="B1071" s="1">
        <v>41971</v>
      </c>
      <c r="C1071" s="1"/>
      <c r="E1071" t="b">
        <f>NOT(OR(ISBLANK(tblEmployee[[#This Row],[EndDate]]),tblEmployee[[#This Row],[EndDate]]-tblEmployee[[#This Row],[StartDate]]&gt;90))</f>
        <v>0</v>
      </c>
    </row>
    <row r="1072" spans="1:5" x14ac:dyDescent="0.3">
      <c r="A1072">
        <v>7021</v>
      </c>
      <c r="B1072" s="1">
        <v>42344</v>
      </c>
      <c r="C1072" s="1"/>
      <c r="E1072" t="b">
        <f>NOT(OR(ISBLANK(tblEmployee[[#This Row],[EndDate]]),tblEmployee[[#This Row],[EndDate]]-tblEmployee[[#This Row],[StartDate]]&gt;90))</f>
        <v>0</v>
      </c>
    </row>
    <row r="1073" spans="1:5" x14ac:dyDescent="0.3">
      <c r="A1073">
        <v>7022</v>
      </c>
      <c r="B1073" s="1">
        <v>43118</v>
      </c>
      <c r="C1073" s="1"/>
      <c r="E1073" t="b">
        <f>NOT(OR(ISBLANK(tblEmployee[[#This Row],[EndDate]]),tblEmployee[[#This Row],[EndDate]]-tblEmployee[[#This Row],[StartDate]]&gt;90))</f>
        <v>0</v>
      </c>
    </row>
    <row r="1074" spans="1:5" x14ac:dyDescent="0.3">
      <c r="A1074">
        <v>7024</v>
      </c>
      <c r="B1074" s="1">
        <v>43248</v>
      </c>
      <c r="C1074" s="1"/>
      <c r="E1074" t="b">
        <f>NOT(OR(ISBLANK(tblEmployee[[#This Row],[EndDate]]),tblEmployee[[#This Row],[EndDate]]-tblEmployee[[#This Row],[StartDate]]&gt;90))</f>
        <v>0</v>
      </c>
    </row>
    <row r="1075" spans="1:5" x14ac:dyDescent="0.3">
      <c r="A1075">
        <v>7033</v>
      </c>
      <c r="B1075" s="1">
        <v>41195</v>
      </c>
      <c r="C1075" s="1"/>
      <c r="E1075" t="b">
        <f>NOT(OR(ISBLANK(tblEmployee[[#This Row],[EndDate]]),tblEmployee[[#This Row],[EndDate]]-tblEmployee[[#This Row],[StartDate]]&gt;90))</f>
        <v>0</v>
      </c>
    </row>
    <row r="1076" spans="1:5" x14ac:dyDescent="0.3">
      <c r="A1076">
        <v>7044</v>
      </c>
      <c r="B1076" s="1">
        <v>39630</v>
      </c>
      <c r="C1076" s="1"/>
      <c r="E1076" t="b">
        <f>NOT(OR(ISBLANK(tblEmployee[[#This Row],[EndDate]]),tblEmployee[[#This Row],[EndDate]]-tblEmployee[[#This Row],[StartDate]]&gt;90))</f>
        <v>0</v>
      </c>
    </row>
    <row r="1077" spans="1:5" x14ac:dyDescent="0.3">
      <c r="A1077">
        <v>7049</v>
      </c>
      <c r="B1077" s="1">
        <v>39969</v>
      </c>
      <c r="C1077" s="1"/>
      <c r="E1077" t="b">
        <f>NOT(OR(ISBLANK(tblEmployee[[#This Row],[EndDate]]),tblEmployee[[#This Row],[EndDate]]-tblEmployee[[#This Row],[StartDate]]&gt;90))</f>
        <v>0</v>
      </c>
    </row>
    <row r="1078" spans="1:5" x14ac:dyDescent="0.3">
      <c r="A1078">
        <v>7051</v>
      </c>
      <c r="B1078" s="1">
        <v>41260</v>
      </c>
      <c r="C1078" s="1"/>
      <c r="E1078" t="b">
        <f>NOT(OR(ISBLANK(tblEmployee[[#This Row],[EndDate]]),tblEmployee[[#This Row],[EndDate]]-tblEmployee[[#This Row],[StartDate]]&gt;90))</f>
        <v>0</v>
      </c>
    </row>
    <row r="1079" spans="1:5" x14ac:dyDescent="0.3">
      <c r="A1079">
        <v>7053</v>
      </c>
      <c r="B1079" s="1">
        <v>40311</v>
      </c>
      <c r="C1079" s="1"/>
      <c r="E1079" t="b">
        <f>NOT(OR(ISBLANK(tblEmployee[[#This Row],[EndDate]]),tblEmployee[[#This Row],[EndDate]]-tblEmployee[[#This Row],[StartDate]]&gt;90))</f>
        <v>0</v>
      </c>
    </row>
    <row r="1080" spans="1:5" x14ac:dyDescent="0.3">
      <c r="A1080">
        <v>7059</v>
      </c>
      <c r="B1080" s="1">
        <v>40747</v>
      </c>
      <c r="C1080" s="1"/>
      <c r="E1080" t="b">
        <f>NOT(OR(ISBLANK(tblEmployee[[#This Row],[EndDate]]),tblEmployee[[#This Row],[EndDate]]-tblEmployee[[#This Row],[StartDate]]&gt;90))</f>
        <v>0</v>
      </c>
    </row>
    <row r="1081" spans="1:5" x14ac:dyDescent="0.3">
      <c r="A1081">
        <v>7062</v>
      </c>
      <c r="B1081" s="1">
        <v>37278</v>
      </c>
      <c r="C1081" s="1"/>
      <c r="E1081" t="b">
        <f>NOT(OR(ISBLANK(tblEmployee[[#This Row],[EndDate]]),tblEmployee[[#This Row],[EndDate]]-tblEmployee[[#This Row],[StartDate]]&gt;90))</f>
        <v>0</v>
      </c>
    </row>
    <row r="1082" spans="1:5" x14ac:dyDescent="0.3">
      <c r="A1082">
        <v>7065</v>
      </c>
      <c r="B1082" s="1">
        <v>39363</v>
      </c>
      <c r="C1082" s="1"/>
      <c r="E1082" t="b">
        <f>NOT(OR(ISBLANK(tblEmployee[[#This Row],[EndDate]]),tblEmployee[[#This Row],[EndDate]]-tblEmployee[[#This Row],[StartDate]]&gt;90))</f>
        <v>0</v>
      </c>
    </row>
    <row r="1083" spans="1:5" x14ac:dyDescent="0.3">
      <c r="A1083">
        <v>7071</v>
      </c>
      <c r="B1083" s="1">
        <v>41174</v>
      </c>
      <c r="C1083" s="1"/>
      <c r="E1083" t="b">
        <f>NOT(OR(ISBLANK(tblEmployee[[#This Row],[EndDate]]),tblEmployee[[#This Row],[EndDate]]-tblEmployee[[#This Row],[StartDate]]&gt;90))</f>
        <v>0</v>
      </c>
    </row>
    <row r="1084" spans="1:5" x14ac:dyDescent="0.3">
      <c r="A1084">
        <v>7073</v>
      </c>
      <c r="B1084" s="1">
        <v>38002</v>
      </c>
      <c r="C1084" s="1"/>
      <c r="E1084" t="b">
        <f>NOT(OR(ISBLANK(tblEmployee[[#This Row],[EndDate]]),tblEmployee[[#This Row],[EndDate]]-tblEmployee[[#This Row],[StartDate]]&gt;90))</f>
        <v>0</v>
      </c>
    </row>
    <row r="1085" spans="1:5" x14ac:dyDescent="0.3">
      <c r="A1085">
        <v>7101</v>
      </c>
      <c r="B1085" s="1">
        <v>38433</v>
      </c>
      <c r="C1085" s="1">
        <v>40955</v>
      </c>
      <c r="D1085" t="s">
        <v>25</v>
      </c>
      <c r="E1085" t="b">
        <f>NOT(OR(ISBLANK(tblEmployee[[#This Row],[EndDate]]),tblEmployee[[#This Row],[EndDate]]-tblEmployee[[#This Row],[StartDate]]&gt;90))</f>
        <v>0</v>
      </c>
    </row>
    <row r="1086" spans="1:5" x14ac:dyDescent="0.3">
      <c r="A1086">
        <v>7105</v>
      </c>
      <c r="B1086" s="1">
        <v>38316</v>
      </c>
      <c r="C1086" s="1">
        <v>38762</v>
      </c>
      <c r="D1086" t="s">
        <v>25</v>
      </c>
      <c r="E1086" t="b">
        <f>NOT(OR(ISBLANK(tblEmployee[[#This Row],[EndDate]]),tblEmployee[[#This Row],[EndDate]]-tblEmployee[[#This Row],[StartDate]]&gt;90))</f>
        <v>0</v>
      </c>
    </row>
    <row r="1087" spans="1:5" x14ac:dyDescent="0.3">
      <c r="A1087">
        <v>7110</v>
      </c>
      <c r="B1087" s="1">
        <v>38470</v>
      </c>
      <c r="C1087" s="1"/>
      <c r="E1087" t="b">
        <f>NOT(OR(ISBLANK(tblEmployee[[#This Row],[EndDate]]),tblEmployee[[#This Row],[EndDate]]-tblEmployee[[#This Row],[StartDate]]&gt;90))</f>
        <v>0</v>
      </c>
    </row>
    <row r="1088" spans="1:5" x14ac:dyDescent="0.3">
      <c r="A1088">
        <v>7112</v>
      </c>
      <c r="B1088" s="1">
        <v>40982</v>
      </c>
      <c r="C1088" s="1"/>
      <c r="E1088" t="b">
        <f>NOT(OR(ISBLANK(tblEmployee[[#This Row],[EndDate]]),tblEmployee[[#This Row],[EndDate]]-tblEmployee[[#This Row],[StartDate]]&gt;90))</f>
        <v>0</v>
      </c>
    </row>
    <row r="1089" spans="1:5" x14ac:dyDescent="0.3">
      <c r="A1089">
        <v>7120</v>
      </c>
      <c r="B1089" s="1">
        <v>41176</v>
      </c>
      <c r="C1089" s="1"/>
      <c r="E1089" t="b">
        <f>NOT(OR(ISBLANK(tblEmployee[[#This Row],[EndDate]]),tblEmployee[[#This Row],[EndDate]]-tblEmployee[[#This Row],[StartDate]]&gt;90))</f>
        <v>0</v>
      </c>
    </row>
    <row r="1090" spans="1:5" x14ac:dyDescent="0.3">
      <c r="A1090">
        <v>7123</v>
      </c>
      <c r="B1090" s="1">
        <v>43098</v>
      </c>
      <c r="C1090" s="1"/>
      <c r="E1090" t="b">
        <f>NOT(OR(ISBLANK(tblEmployee[[#This Row],[EndDate]]),tblEmployee[[#This Row],[EndDate]]-tblEmployee[[#This Row],[StartDate]]&gt;90))</f>
        <v>0</v>
      </c>
    </row>
    <row r="1091" spans="1:5" x14ac:dyDescent="0.3">
      <c r="A1091">
        <v>7127</v>
      </c>
      <c r="B1091" s="1">
        <v>37293</v>
      </c>
      <c r="C1091" s="1"/>
      <c r="E1091" t="b">
        <f>NOT(OR(ISBLANK(tblEmployee[[#This Row],[EndDate]]),tblEmployee[[#This Row],[EndDate]]-tblEmployee[[#This Row],[StartDate]]&gt;90))</f>
        <v>0</v>
      </c>
    </row>
    <row r="1092" spans="1:5" x14ac:dyDescent="0.3">
      <c r="A1092">
        <v>7134</v>
      </c>
      <c r="B1092" s="1">
        <v>44544</v>
      </c>
      <c r="C1092" s="1">
        <v>44546</v>
      </c>
      <c r="D1092" t="s">
        <v>28</v>
      </c>
      <c r="E1092" t="b">
        <f>NOT(OR(ISBLANK(tblEmployee[[#This Row],[EndDate]]),tblEmployee[[#This Row],[EndDate]]-tblEmployee[[#This Row],[StartDate]]&gt;90))</f>
        <v>1</v>
      </c>
    </row>
    <row r="1093" spans="1:5" x14ac:dyDescent="0.3">
      <c r="A1093">
        <v>7136</v>
      </c>
      <c r="B1093" s="1">
        <v>41038</v>
      </c>
      <c r="C1093" s="1"/>
      <c r="E1093" t="b">
        <f>NOT(OR(ISBLANK(tblEmployee[[#This Row],[EndDate]]),tblEmployee[[#This Row],[EndDate]]-tblEmployee[[#This Row],[StartDate]]&gt;90))</f>
        <v>0</v>
      </c>
    </row>
    <row r="1094" spans="1:5" x14ac:dyDescent="0.3">
      <c r="A1094">
        <v>7145</v>
      </c>
      <c r="B1094" s="1">
        <v>40657</v>
      </c>
      <c r="C1094" s="1"/>
      <c r="E1094" t="b">
        <f>NOT(OR(ISBLANK(tblEmployee[[#This Row],[EndDate]]),tblEmployee[[#This Row],[EndDate]]-tblEmployee[[#This Row],[StartDate]]&gt;90))</f>
        <v>0</v>
      </c>
    </row>
    <row r="1095" spans="1:5" x14ac:dyDescent="0.3">
      <c r="A1095">
        <v>7156</v>
      </c>
      <c r="B1095" s="1">
        <v>37477</v>
      </c>
      <c r="C1095" s="1"/>
      <c r="E1095" t="b">
        <f>NOT(OR(ISBLANK(tblEmployee[[#This Row],[EndDate]]),tblEmployee[[#This Row],[EndDate]]-tblEmployee[[#This Row],[StartDate]]&gt;90))</f>
        <v>0</v>
      </c>
    </row>
    <row r="1096" spans="1:5" x14ac:dyDescent="0.3">
      <c r="A1096">
        <v>7158</v>
      </c>
      <c r="B1096" s="1">
        <v>37848</v>
      </c>
      <c r="C1096" s="1"/>
      <c r="E1096" t="b">
        <f>NOT(OR(ISBLANK(tblEmployee[[#This Row],[EndDate]]),tblEmployee[[#This Row],[EndDate]]-tblEmployee[[#This Row],[StartDate]]&gt;90))</f>
        <v>0</v>
      </c>
    </row>
    <row r="1097" spans="1:5" x14ac:dyDescent="0.3">
      <c r="A1097">
        <v>7165</v>
      </c>
      <c r="B1097" s="1">
        <v>43400</v>
      </c>
      <c r="C1097" s="1"/>
      <c r="E1097" t="b">
        <f>NOT(OR(ISBLANK(tblEmployee[[#This Row],[EndDate]]),tblEmployee[[#This Row],[EndDate]]-tblEmployee[[#This Row],[StartDate]]&gt;90))</f>
        <v>0</v>
      </c>
    </row>
    <row r="1098" spans="1:5" x14ac:dyDescent="0.3">
      <c r="A1098">
        <v>7175</v>
      </c>
      <c r="B1098" s="1">
        <v>37738</v>
      </c>
      <c r="C1098" s="1">
        <v>39624</v>
      </c>
      <c r="D1098" t="s">
        <v>29</v>
      </c>
      <c r="E1098" t="b">
        <f>NOT(OR(ISBLANK(tblEmployee[[#This Row],[EndDate]]),tblEmployee[[#This Row],[EndDate]]-tblEmployee[[#This Row],[StartDate]]&gt;90))</f>
        <v>0</v>
      </c>
    </row>
    <row r="1099" spans="1:5" x14ac:dyDescent="0.3">
      <c r="A1099">
        <v>7182</v>
      </c>
      <c r="B1099" s="1">
        <v>39476</v>
      </c>
      <c r="C1099" s="1"/>
      <c r="E1099" t="b">
        <f>NOT(OR(ISBLANK(tblEmployee[[#This Row],[EndDate]]),tblEmployee[[#This Row],[EndDate]]-tblEmployee[[#This Row],[StartDate]]&gt;90))</f>
        <v>0</v>
      </c>
    </row>
    <row r="1100" spans="1:5" x14ac:dyDescent="0.3">
      <c r="A1100">
        <v>7183</v>
      </c>
      <c r="B1100" s="1">
        <v>40123</v>
      </c>
      <c r="C1100" s="1"/>
      <c r="E1100" t="b">
        <f>NOT(OR(ISBLANK(tblEmployee[[#This Row],[EndDate]]),tblEmployee[[#This Row],[EndDate]]-tblEmployee[[#This Row],[StartDate]]&gt;90))</f>
        <v>0</v>
      </c>
    </row>
    <row r="1101" spans="1:5" x14ac:dyDescent="0.3">
      <c r="A1101">
        <v>7191</v>
      </c>
      <c r="B1101" s="1">
        <v>41898</v>
      </c>
      <c r="C1101" s="1"/>
      <c r="E1101" t="b">
        <f>NOT(OR(ISBLANK(tblEmployee[[#This Row],[EndDate]]),tblEmployee[[#This Row],[EndDate]]-tblEmployee[[#This Row],[StartDate]]&gt;90))</f>
        <v>0</v>
      </c>
    </row>
    <row r="1102" spans="1:5" x14ac:dyDescent="0.3">
      <c r="A1102">
        <v>7195</v>
      </c>
      <c r="B1102" s="1">
        <v>40338</v>
      </c>
      <c r="C1102" s="1"/>
      <c r="E1102" t="b">
        <f>NOT(OR(ISBLANK(tblEmployee[[#This Row],[EndDate]]),tblEmployee[[#This Row],[EndDate]]-tblEmployee[[#This Row],[StartDate]]&gt;90))</f>
        <v>0</v>
      </c>
    </row>
    <row r="1103" spans="1:5" x14ac:dyDescent="0.3">
      <c r="A1103">
        <v>7198</v>
      </c>
      <c r="B1103" s="1">
        <v>37715</v>
      </c>
      <c r="C1103" s="1"/>
      <c r="E1103" t="b">
        <f>NOT(OR(ISBLANK(tblEmployee[[#This Row],[EndDate]]),tblEmployee[[#This Row],[EndDate]]-tblEmployee[[#This Row],[StartDate]]&gt;90))</f>
        <v>0</v>
      </c>
    </row>
    <row r="1104" spans="1:5" x14ac:dyDescent="0.3">
      <c r="A1104">
        <v>7232</v>
      </c>
      <c r="B1104" s="1">
        <v>37978</v>
      </c>
      <c r="C1104" s="1"/>
      <c r="E1104" t="b">
        <f>NOT(OR(ISBLANK(tblEmployee[[#This Row],[EndDate]]),tblEmployee[[#This Row],[EndDate]]-tblEmployee[[#This Row],[StartDate]]&gt;90))</f>
        <v>0</v>
      </c>
    </row>
    <row r="1105" spans="1:5" x14ac:dyDescent="0.3">
      <c r="A1105">
        <v>7233</v>
      </c>
      <c r="B1105" s="1">
        <v>40084</v>
      </c>
      <c r="C1105" s="1">
        <v>43735</v>
      </c>
      <c r="D1105" t="s">
        <v>25</v>
      </c>
      <c r="E1105" t="b">
        <f>NOT(OR(ISBLANK(tblEmployee[[#This Row],[EndDate]]),tblEmployee[[#This Row],[EndDate]]-tblEmployee[[#This Row],[StartDate]]&gt;90))</f>
        <v>0</v>
      </c>
    </row>
    <row r="1106" spans="1:5" x14ac:dyDescent="0.3">
      <c r="A1106">
        <v>7235</v>
      </c>
      <c r="B1106" s="1">
        <v>38966</v>
      </c>
      <c r="C1106" s="1"/>
      <c r="E1106" t="b">
        <f>NOT(OR(ISBLANK(tblEmployee[[#This Row],[EndDate]]),tblEmployee[[#This Row],[EndDate]]-tblEmployee[[#This Row],[StartDate]]&gt;90))</f>
        <v>0</v>
      </c>
    </row>
    <row r="1107" spans="1:5" x14ac:dyDescent="0.3">
      <c r="A1107">
        <v>7236</v>
      </c>
      <c r="B1107" s="1">
        <v>38664</v>
      </c>
      <c r="C1107" s="1"/>
      <c r="E1107" t="b">
        <f>NOT(OR(ISBLANK(tblEmployee[[#This Row],[EndDate]]),tblEmployee[[#This Row],[EndDate]]-tblEmployee[[#This Row],[StartDate]]&gt;90))</f>
        <v>0</v>
      </c>
    </row>
    <row r="1108" spans="1:5" x14ac:dyDescent="0.3">
      <c r="A1108">
        <v>7240</v>
      </c>
      <c r="B1108" s="1">
        <v>43456</v>
      </c>
      <c r="C1108" s="1"/>
      <c r="E1108" t="b">
        <f>NOT(OR(ISBLANK(tblEmployee[[#This Row],[EndDate]]),tblEmployee[[#This Row],[EndDate]]-tblEmployee[[#This Row],[StartDate]]&gt;90))</f>
        <v>0</v>
      </c>
    </row>
    <row r="1109" spans="1:5" x14ac:dyDescent="0.3">
      <c r="A1109">
        <v>7244</v>
      </c>
      <c r="B1109" s="1">
        <v>43783</v>
      </c>
      <c r="C1109" s="1"/>
      <c r="E1109" t="b">
        <f>NOT(OR(ISBLANK(tblEmployee[[#This Row],[EndDate]]),tblEmployee[[#This Row],[EndDate]]-tblEmployee[[#This Row],[StartDate]]&gt;90))</f>
        <v>0</v>
      </c>
    </row>
    <row r="1110" spans="1:5" x14ac:dyDescent="0.3">
      <c r="A1110">
        <v>7250</v>
      </c>
      <c r="B1110" s="1">
        <v>42792</v>
      </c>
      <c r="C1110" s="1"/>
      <c r="E1110" t="b">
        <f>NOT(OR(ISBLANK(tblEmployee[[#This Row],[EndDate]]),tblEmployee[[#This Row],[EndDate]]-tblEmployee[[#This Row],[StartDate]]&gt;90))</f>
        <v>0</v>
      </c>
    </row>
    <row r="1111" spans="1:5" x14ac:dyDescent="0.3">
      <c r="A1111">
        <v>7251</v>
      </c>
      <c r="B1111" s="1">
        <v>39495</v>
      </c>
      <c r="C1111" s="1"/>
      <c r="E1111" t="b">
        <f>NOT(OR(ISBLANK(tblEmployee[[#This Row],[EndDate]]),tblEmployee[[#This Row],[EndDate]]-tblEmployee[[#This Row],[StartDate]]&gt;90))</f>
        <v>0</v>
      </c>
    </row>
    <row r="1112" spans="1:5" x14ac:dyDescent="0.3">
      <c r="A1112">
        <v>7254</v>
      </c>
      <c r="B1112" s="1">
        <v>41808</v>
      </c>
      <c r="C1112" s="1"/>
      <c r="E1112" t="b">
        <f>NOT(OR(ISBLANK(tblEmployee[[#This Row],[EndDate]]),tblEmployee[[#This Row],[EndDate]]-tblEmployee[[#This Row],[StartDate]]&gt;90))</f>
        <v>0</v>
      </c>
    </row>
    <row r="1113" spans="1:5" x14ac:dyDescent="0.3">
      <c r="A1113">
        <v>7257</v>
      </c>
      <c r="B1113" s="1">
        <v>43255</v>
      </c>
      <c r="C1113" s="1"/>
      <c r="E1113" t="b">
        <f>NOT(OR(ISBLANK(tblEmployee[[#This Row],[EndDate]]),tblEmployee[[#This Row],[EndDate]]-tblEmployee[[#This Row],[StartDate]]&gt;90))</f>
        <v>0</v>
      </c>
    </row>
    <row r="1114" spans="1:5" x14ac:dyDescent="0.3">
      <c r="A1114">
        <v>7264</v>
      </c>
      <c r="B1114" s="1">
        <v>38022</v>
      </c>
      <c r="C1114" s="1"/>
      <c r="E1114" t="b">
        <f>NOT(OR(ISBLANK(tblEmployee[[#This Row],[EndDate]]),tblEmployee[[#This Row],[EndDate]]-tblEmployee[[#This Row],[StartDate]]&gt;90))</f>
        <v>0</v>
      </c>
    </row>
    <row r="1115" spans="1:5" x14ac:dyDescent="0.3">
      <c r="A1115">
        <v>7266</v>
      </c>
      <c r="B1115" s="1">
        <v>39581</v>
      </c>
      <c r="C1115" s="1"/>
      <c r="E1115" t="b">
        <f>NOT(OR(ISBLANK(tblEmployee[[#This Row],[EndDate]]),tblEmployee[[#This Row],[EndDate]]-tblEmployee[[#This Row],[StartDate]]&gt;90))</f>
        <v>0</v>
      </c>
    </row>
    <row r="1116" spans="1:5" x14ac:dyDescent="0.3">
      <c r="A1116">
        <v>7285</v>
      </c>
      <c r="B1116" s="1">
        <v>41116</v>
      </c>
      <c r="C1116" s="1"/>
      <c r="E1116" t="b">
        <f>NOT(OR(ISBLANK(tblEmployee[[#This Row],[EndDate]]),tblEmployee[[#This Row],[EndDate]]-tblEmployee[[#This Row],[StartDate]]&gt;90))</f>
        <v>0</v>
      </c>
    </row>
    <row r="1117" spans="1:5" x14ac:dyDescent="0.3">
      <c r="A1117">
        <v>7290</v>
      </c>
      <c r="B1117" s="1">
        <v>38223</v>
      </c>
      <c r="C1117" s="1">
        <v>38686</v>
      </c>
      <c r="D1117" t="s">
        <v>29</v>
      </c>
      <c r="E1117" t="b">
        <f>NOT(OR(ISBLANK(tblEmployee[[#This Row],[EndDate]]),tblEmployee[[#This Row],[EndDate]]-tblEmployee[[#This Row],[StartDate]]&gt;90))</f>
        <v>0</v>
      </c>
    </row>
    <row r="1118" spans="1:5" x14ac:dyDescent="0.3">
      <c r="A1118">
        <v>7304</v>
      </c>
      <c r="B1118" s="1">
        <v>37981</v>
      </c>
      <c r="C1118" s="1"/>
      <c r="E1118" t="b">
        <f>NOT(OR(ISBLANK(tblEmployee[[#This Row],[EndDate]]),tblEmployee[[#This Row],[EndDate]]-tblEmployee[[#This Row],[StartDate]]&gt;90))</f>
        <v>0</v>
      </c>
    </row>
    <row r="1119" spans="1:5" x14ac:dyDescent="0.3">
      <c r="A1119">
        <v>7307</v>
      </c>
      <c r="B1119" s="1">
        <v>37936</v>
      </c>
      <c r="C1119" s="1"/>
      <c r="E1119" t="b">
        <f>NOT(OR(ISBLANK(tblEmployee[[#This Row],[EndDate]]),tblEmployee[[#This Row],[EndDate]]-tblEmployee[[#This Row],[StartDate]]&gt;90))</f>
        <v>0</v>
      </c>
    </row>
    <row r="1120" spans="1:5" x14ac:dyDescent="0.3">
      <c r="A1120">
        <v>7308</v>
      </c>
      <c r="B1120" s="1">
        <v>42292</v>
      </c>
      <c r="C1120" s="1"/>
      <c r="E1120" t="b">
        <f>NOT(OR(ISBLANK(tblEmployee[[#This Row],[EndDate]]),tblEmployee[[#This Row],[EndDate]]-tblEmployee[[#This Row],[StartDate]]&gt;90))</f>
        <v>0</v>
      </c>
    </row>
    <row r="1121" spans="1:5" x14ac:dyDescent="0.3">
      <c r="A1121">
        <v>7320</v>
      </c>
      <c r="B1121" s="1">
        <v>41071</v>
      </c>
      <c r="C1121" s="1"/>
      <c r="E1121" t="b">
        <f>NOT(OR(ISBLANK(tblEmployee[[#This Row],[EndDate]]),tblEmployee[[#This Row],[EndDate]]-tblEmployee[[#This Row],[StartDate]]&gt;90))</f>
        <v>0</v>
      </c>
    </row>
    <row r="1122" spans="1:5" x14ac:dyDescent="0.3">
      <c r="A1122">
        <v>7321</v>
      </c>
      <c r="B1122" s="1">
        <v>43377</v>
      </c>
      <c r="C1122" s="1"/>
      <c r="E1122" t="b">
        <f>NOT(OR(ISBLANK(tblEmployee[[#This Row],[EndDate]]),tblEmployee[[#This Row],[EndDate]]-tblEmployee[[#This Row],[StartDate]]&gt;90))</f>
        <v>0</v>
      </c>
    </row>
    <row r="1123" spans="1:5" x14ac:dyDescent="0.3">
      <c r="A1123">
        <v>7326</v>
      </c>
      <c r="B1123" s="1">
        <v>39981</v>
      </c>
      <c r="C1123" s="1"/>
      <c r="E1123" t="b">
        <f>NOT(OR(ISBLANK(tblEmployee[[#This Row],[EndDate]]),tblEmployee[[#This Row],[EndDate]]-tblEmployee[[#This Row],[StartDate]]&gt;90))</f>
        <v>0</v>
      </c>
    </row>
    <row r="1124" spans="1:5" x14ac:dyDescent="0.3">
      <c r="A1124">
        <v>7339</v>
      </c>
      <c r="B1124" s="1">
        <v>39866</v>
      </c>
      <c r="C1124" s="1"/>
      <c r="E1124" t="b">
        <f>NOT(OR(ISBLANK(tblEmployee[[#This Row],[EndDate]]),tblEmployee[[#This Row],[EndDate]]-tblEmployee[[#This Row],[StartDate]]&gt;90))</f>
        <v>0</v>
      </c>
    </row>
    <row r="1125" spans="1:5" x14ac:dyDescent="0.3">
      <c r="A1125">
        <v>7350</v>
      </c>
      <c r="B1125" s="1">
        <v>39506</v>
      </c>
      <c r="C1125" s="1">
        <v>44251</v>
      </c>
      <c r="D1125" t="s">
        <v>56</v>
      </c>
      <c r="E1125" t="b">
        <f>NOT(OR(ISBLANK(tblEmployee[[#This Row],[EndDate]]),tblEmployee[[#This Row],[EndDate]]-tblEmployee[[#This Row],[StartDate]]&gt;90))</f>
        <v>0</v>
      </c>
    </row>
    <row r="1126" spans="1:5" x14ac:dyDescent="0.3">
      <c r="A1126">
        <v>7361</v>
      </c>
      <c r="B1126" s="1">
        <v>42951</v>
      </c>
      <c r="C1126" s="1"/>
      <c r="E1126" t="b">
        <f>NOT(OR(ISBLANK(tblEmployee[[#This Row],[EndDate]]),tblEmployee[[#This Row],[EndDate]]-tblEmployee[[#This Row],[StartDate]]&gt;90))</f>
        <v>0</v>
      </c>
    </row>
    <row r="1127" spans="1:5" x14ac:dyDescent="0.3">
      <c r="A1127">
        <v>7365</v>
      </c>
      <c r="B1127" s="1">
        <v>38290</v>
      </c>
      <c r="C1127" s="1"/>
      <c r="E1127" t="b">
        <f>NOT(OR(ISBLANK(tblEmployee[[#This Row],[EndDate]]),tblEmployee[[#This Row],[EndDate]]-tblEmployee[[#This Row],[StartDate]]&gt;90))</f>
        <v>0</v>
      </c>
    </row>
    <row r="1128" spans="1:5" x14ac:dyDescent="0.3">
      <c r="A1128">
        <v>7390</v>
      </c>
      <c r="B1128" s="1">
        <v>38214</v>
      </c>
      <c r="C1128" s="1"/>
      <c r="E1128" t="b">
        <f>NOT(OR(ISBLANK(tblEmployee[[#This Row],[EndDate]]),tblEmployee[[#This Row],[EndDate]]-tblEmployee[[#This Row],[StartDate]]&gt;90))</f>
        <v>0</v>
      </c>
    </row>
    <row r="1129" spans="1:5" x14ac:dyDescent="0.3">
      <c r="A1129">
        <v>7394</v>
      </c>
      <c r="B1129" s="1">
        <v>43534</v>
      </c>
      <c r="C1129" s="1">
        <v>44069</v>
      </c>
      <c r="D1129" t="s">
        <v>31</v>
      </c>
      <c r="E1129" t="b">
        <f>NOT(OR(ISBLANK(tblEmployee[[#This Row],[EndDate]]),tblEmployee[[#This Row],[EndDate]]-tblEmployee[[#This Row],[StartDate]]&gt;90))</f>
        <v>0</v>
      </c>
    </row>
    <row r="1130" spans="1:5" x14ac:dyDescent="0.3">
      <c r="A1130">
        <v>7399</v>
      </c>
      <c r="B1130" s="1">
        <v>39161</v>
      </c>
      <c r="C1130" s="1"/>
      <c r="E1130" t="b">
        <f>NOT(OR(ISBLANK(tblEmployee[[#This Row],[EndDate]]),tblEmployee[[#This Row],[EndDate]]-tblEmployee[[#This Row],[StartDate]]&gt;90))</f>
        <v>0</v>
      </c>
    </row>
    <row r="1131" spans="1:5" x14ac:dyDescent="0.3">
      <c r="A1131">
        <v>7400</v>
      </c>
      <c r="B1131" s="1">
        <v>42196</v>
      </c>
      <c r="C1131" s="1"/>
      <c r="E1131" t="b">
        <f>NOT(OR(ISBLANK(tblEmployee[[#This Row],[EndDate]]),tblEmployee[[#This Row],[EndDate]]-tblEmployee[[#This Row],[StartDate]]&gt;90))</f>
        <v>0</v>
      </c>
    </row>
    <row r="1132" spans="1:5" x14ac:dyDescent="0.3">
      <c r="A1132">
        <v>7405</v>
      </c>
      <c r="B1132" s="1">
        <v>38575</v>
      </c>
      <c r="C1132" s="1"/>
      <c r="E1132" t="b">
        <f>NOT(OR(ISBLANK(tblEmployee[[#This Row],[EndDate]]),tblEmployee[[#This Row],[EndDate]]-tblEmployee[[#This Row],[StartDate]]&gt;90))</f>
        <v>0</v>
      </c>
    </row>
    <row r="1133" spans="1:5" x14ac:dyDescent="0.3">
      <c r="A1133">
        <v>7414</v>
      </c>
      <c r="B1133" s="1">
        <v>37733</v>
      </c>
      <c r="C1133" s="1"/>
      <c r="E1133" t="b">
        <f>NOT(OR(ISBLANK(tblEmployee[[#This Row],[EndDate]]),tblEmployee[[#This Row],[EndDate]]-tblEmployee[[#This Row],[StartDate]]&gt;90))</f>
        <v>0</v>
      </c>
    </row>
    <row r="1134" spans="1:5" x14ac:dyDescent="0.3">
      <c r="A1134">
        <v>7417</v>
      </c>
      <c r="B1134" s="1">
        <v>43700</v>
      </c>
      <c r="C1134" s="1"/>
      <c r="E1134" t="b">
        <f>NOT(OR(ISBLANK(tblEmployee[[#This Row],[EndDate]]),tblEmployee[[#This Row],[EndDate]]-tblEmployee[[#This Row],[StartDate]]&gt;90))</f>
        <v>0</v>
      </c>
    </row>
    <row r="1135" spans="1:5" x14ac:dyDescent="0.3">
      <c r="A1135">
        <v>7418</v>
      </c>
      <c r="B1135" s="1">
        <v>40595</v>
      </c>
      <c r="C1135" s="1"/>
      <c r="E1135" t="b">
        <f>NOT(OR(ISBLANK(tblEmployee[[#This Row],[EndDate]]),tblEmployee[[#This Row],[EndDate]]-tblEmployee[[#This Row],[StartDate]]&gt;90))</f>
        <v>0</v>
      </c>
    </row>
    <row r="1136" spans="1:5" x14ac:dyDescent="0.3">
      <c r="A1136">
        <v>7430</v>
      </c>
      <c r="B1136" s="1">
        <v>43998</v>
      </c>
      <c r="C1136" s="1"/>
      <c r="E1136" t="b">
        <f>NOT(OR(ISBLANK(tblEmployee[[#This Row],[EndDate]]),tblEmployee[[#This Row],[EndDate]]-tblEmployee[[#This Row],[StartDate]]&gt;90))</f>
        <v>0</v>
      </c>
    </row>
    <row r="1137" spans="1:5" x14ac:dyDescent="0.3">
      <c r="A1137">
        <v>7433</v>
      </c>
      <c r="B1137" s="1">
        <v>43722</v>
      </c>
      <c r="C1137" s="1"/>
      <c r="E1137" t="b">
        <f>NOT(OR(ISBLANK(tblEmployee[[#This Row],[EndDate]]),tblEmployee[[#This Row],[EndDate]]-tblEmployee[[#This Row],[StartDate]]&gt;90))</f>
        <v>0</v>
      </c>
    </row>
    <row r="1138" spans="1:5" x14ac:dyDescent="0.3">
      <c r="A1138">
        <v>7434</v>
      </c>
      <c r="B1138" s="1">
        <v>43904</v>
      </c>
      <c r="C1138" s="1">
        <v>44497</v>
      </c>
      <c r="D1138" t="s">
        <v>27</v>
      </c>
      <c r="E1138" t="b">
        <f>NOT(OR(ISBLANK(tblEmployee[[#This Row],[EndDate]]),tblEmployee[[#This Row],[EndDate]]-tblEmployee[[#This Row],[StartDate]]&gt;90))</f>
        <v>0</v>
      </c>
    </row>
    <row r="1139" spans="1:5" x14ac:dyDescent="0.3">
      <c r="A1139">
        <v>7443</v>
      </c>
      <c r="B1139" s="1">
        <v>43143</v>
      </c>
      <c r="C1139" s="1">
        <v>43416</v>
      </c>
      <c r="D1139" t="s">
        <v>26</v>
      </c>
      <c r="E1139" t="b">
        <f>NOT(OR(ISBLANK(tblEmployee[[#This Row],[EndDate]]),tblEmployee[[#This Row],[EndDate]]-tblEmployee[[#This Row],[StartDate]]&gt;90))</f>
        <v>0</v>
      </c>
    </row>
    <row r="1140" spans="1:5" x14ac:dyDescent="0.3">
      <c r="A1140">
        <v>7445</v>
      </c>
      <c r="B1140" s="1">
        <v>39951</v>
      </c>
      <c r="C1140" s="1"/>
      <c r="E1140" t="b">
        <f>NOT(OR(ISBLANK(tblEmployee[[#This Row],[EndDate]]),tblEmployee[[#This Row],[EndDate]]-tblEmployee[[#This Row],[StartDate]]&gt;90))</f>
        <v>0</v>
      </c>
    </row>
    <row r="1141" spans="1:5" x14ac:dyDescent="0.3">
      <c r="A1141">
        <v>7451</v>
      </c>
      <c r="B1141" s="1">
        <v>37440</v>
      </c>
      <c r="C1141" s="1"/>
      <c r="E1141" t="b">
        <f>NOT(OR(ISBLANK(tblEmployee[[#This Row],[EndDate]]),tblEmployee[[#This Row],[EndDate]]-tblEmployee[[#This Row],[StartDate]]&gt;90))</f>
        <v>0</v>
      </c>
    </row>
    <row r="1142" spans="1:5" x14ac:dyDescent="0.3">
      <c r="A1142">
        <v>7469</v>
      </c>
      <c r="B1142" s="1">
        <v>38200</v>
      </c>
      <c r="C1142" s="1"/>
      <c r="E1142" t="b">
        <f>NOT(OR(ISBLANK(tblEmployee[[#This Row],[EndDate]]),tblEmployee[[#This Row],[EndDate]]-tblEmployee[[#This Row],[StartDate]]&gt;90))</f>
        <v>0</v>
      </c>
    </row>
    <row r="1143" spans="1:5" x14ac:dyDescent="0.3">
      <c r="A1143">
        <v>7472</v>
      </c>
      <c r="B1143" s="1">
        <v>39597</v>
      </c>
      <c r="C1143" s="1"/>
      <c r="E1143" t="b">
        <f>NOT(OR(ISBLANK(tblEmployee[[#This Row],[EndDate]]),tblEmployee[[#This Row],[EndDate]]-tblEmployee[[#This Row],[StartDate]]&gt;90))</f>
        <v>0</v>
      </c>
    </row>
    <row r="1144" spans="1:5" x14ac:dyDescent="0.3">
      <c r="A1144">
        <v>7473</v>
      </c>
      <c r="B1144" s="1">
        <v>38685</v>
      </c>
      <c r="C1144" s="1"/>
      <c r="E1144" t="b">
        <f>NOT(OR(ISBLANK(tblEmployee[[#This Row],[EndDate]]),tblEmployee[[#This Row],[EndDate]]-tblEmployee[[#This Row],[StartDate]]&gt;90))</f>
        <v>0</v>
      </c>
    </row>
    <row r="1145" spans="1:5" x14ac:dyDescent="0.3">
      <c r="A1145">
        <v>7478</v>
      </c>
      <c r="B1145" s="1">
        <v>43594</v>
      </c>
      <c r="C1145" s="1"/>
      <c r="E1145" t="b">
        <f>NOT(OR(ISBLANK(tblEmployee[[#This Row],[EndDate]]),tblEmployee[[#This Row],[EndDate]]-tblEmployee[[#This Row],[StartDate]]&gt;90))</f>
        <v>0</v>
      </c>
    </row>
    <row r="1146" spans="1:5" x14ac:dyDescent="0.3">
      <c r="A1146">
        <v>7482</v>
      </c>
      <c r="B1146" s="1">
        <v>39474</v>
      </c>
      <c r="C1146" s="1"/>
      <c r="E1146" t="b">
        <f>NOT(OR(ISBLANK(tblEmployee[[#This Row],[EndDate]]),tblEmployee[[#This Row],[EndDate]]-tblEmployee[[#This Row],[StartDate]]&gt;90))</f>
        <v>0</v>
      </c>
    </row>
    <row r="1147" spans="1:5" x14ac:dyDescent="0.3">
      <c r="A1147">
        <v>7489</v>
      </c>
      <c r="B1147" s="1">
        <v>39884</v>
      </c>
      <c r="C1147" s="1"/>
      <c r="E1147" t="b">
        <f>NOT(OR(ISBLANK(tblEmployee[[#This Row],[EndDate]]),tblEmployee[[#This Row],[EndDate]]-tblEmployee[[#This Row],[StartDate]]&gt;90))</f>
        <v>0</v>
      </c>
    </row>
    <row r="1148" spans="1:5" x14ac:dyDescent="0.3">
      <c r="A1148">
        <v>7497</v>
      </c>
      <c r="B1148" s="1">
        <v>40065</v>
      </c>
      <c r="C1148" s="1"/>
      <c r="E1148" t="b">
        <f>NOT(OR(ISBLANK(tblEmployee[[#This Row],[EndDate]]),tblEmployee[[#This Row],[EndDate]]-tblEmployee[[#This Row],[StartDate]]&gt;90))</f>
        <v>0</v>
      </c>
    </row>
    <row r="1149" spans="1:5" x14ac:dyDescent="0.3">
      <c r="A1149">
        <v>7516</v>
      </c>
      <c r="B1149" s="1">
        <v>39288</v>
      </c>
      <c r="C1149" s="1"/>
      <c r="E1149" t="b">
        <f>NOT(OR(ISBLANK(tblEmployee[[#This Row],[EndDate]]),tblEmployee[[#This Row],[EndDate]]-tblEmployee[[#This Row],[StartDate]]&gt;90))</f>
        <v>0</v>
      </c>
    </row>
    <row r="1150" spans="1:5" x14ac:dyDescent="0.3">
      <c r="A1150">
        <v>7521</v>
      </c>
      <c r="B1150" s="1">
        <v>40778</v>
      </c>
      <c r="C1150" s="1"/>
      <c r="E1150" t="b">
        <f>NOT(OR(ISBLANK(tblEmployee[[#This Row],[EndDate]]),tblEmployee[[#This Row],[EndDate]]-tblEmployee[[#This Row],[StartDate]]&gt;90))</f>
        <v>0</v>
      </c>
    </row>
    <row r="1151" spans="1:5" x14ac:dyDescent="0.3">
      <c r="A1151">
        <v>7534</v>
      </c>
      <c r="B1151" s="1">
        <v>41197</v>
      </c>
      <c r="C1151" s="1"/>
      <c r="E1151" t="b">
        <f>NOT(OR(ISBLANK(tblEmployee[[#This Row],[EndDate]]),tblEmployee[[#This Row],[EndDate]]-tblEmployee[[#This Row],[StartDate]]&gt;90))</f>
        <v>0</v>
      </c>
    </row>
    <row r="1152" spans="1:5" x14ac:dyDescent="0.3">
      <c r="A1152">
        <v>7540</v>
      </c>
      <c r="B1152" s="1">
        <v>37751</v>
      </c>
      <c r="C1152" s="1"/>
      <c r="E1152" t="b">
        <f>NOT(OR(ISBLANK(tblEmployee[[#This Row],[EndDate]]),tblEmployee[[#This Row],[EndDate]]-tblEmployee[[#This Row],[StartDate]]&gt;90))</f>
        <v>0</v>
      </c>
    </row>
    <row r="1153" spans="1:5" x14ac:dyDescent="0.3">
      <c r="A1153">
        <v>7552</v>
      </c>
      <c r="B1153" s="1">
        <v>40507</v>
      </c>
      <c r="C1153" s="1">
        <v>44457</v>
      </c>
      <c r="D1153" t="s">
        <v>26</v>
      </c>
      <c r="E1153" t="b">
        <f>NOT(OR(ISBLANK(tblEmployee[[#This Row],[EndDate]]),tblEmployee[[#This Row],[EndDate]]-tblEmployee[[#This Row],[StartDate]]&gt;90))</f>
        <v>0</v>
      </c>
    </row>
    <row r="1154" spans="1:5" x14ac:dyDescent="0.3">
      <c r="A1154">
        <v>7564</v>
      </c>
      <c r="B1154" s="1">
        <v>43781</v>
      </c>
      <c r="C1154" s="1"/>
      <c r="E1154" t="b">
        <f>NOT(OR(ISBLANK(tblEmployee[[#This Row],[EndDate]]),tblEmployee[[#This Row],[EndDate]]-tblEmployee[[#This Row],[StartDate]]&gt;90))</f>
        <v>0</v>
      </c>
    </row>
    <row r="1155" spans="1:5" x14ac:dyDescent="0.3">
      <c r="A1155">
        <v>7565</v>
      </c>
      <c r="B1155" s="1">
        <v>43321</v>
      </c>
      <c r="C1155" s="1"/>
      <c r="E1155" t="b">
        <f>NOT(OR(ISBLANK(tblEmployee[[#This Row],[EndDate]]),tblEmployee[[#This Row],[EndDate]]-tblEmployee[[#This Row],[StartDate]]&gt;90))</f>
        <v>0</v>
      </c>
    </row>
    <row r="1156" spans="1:5" x14ac:dyDescent="0.3">
      <c r="A1156">
        <v>7568</v>
      </c>
      <c r="B1156" s="1">
        <v>41729</v>
      </c>
      <c r="C1156" s="1"/>
      <c r="E1156" t="b">
        <f>NOT(OR(ISBLANK(tblEmployee[[#This Row],[EndDate]]),tblEmployee[[#This Row],[EndDate]]-tblEmployee[[#This Row],[StartDate]]&gt;90))</f>
        <v>0</v>
      </c>
    </row>
    <row r="1157" spans="1:5" x14ac:dyDescent="0.3">
      <c r="A1157">
        <v>7573</v>
      </c>
      <c r="B1157" s="1">
        <v>43458</v>
      </c>
      <c r="C1157" s="1">
        <v>43468</v>
      </c>
      <c r="D1157" t="s">
        <v>28</v>
      </c>
      <c r="E1157" t="b">
        <f>NOT(OR(ISBLANK(tblEmployee[[#This Row],[EndDate]]),tblEmployee[[#This Row],[EndDate]]-tblEmployee[[#This Row],[StartDate]]&gt;90))</f>
        <v>1</v>
      </c>
    </row>
    <row r="1158" spans="1:5" x14ac:dyDescent="0.3">
      <c r="A1158">
        <v>7577</v>
      </c>
      <c r="B1158" s="1">
        <v>38067</v>
      </c>
      <c r="C1158" s="1">
        <v>41945</v>
      </c>
      <c r="D1158" t="s">
        <v>25</v>
      </c>
      <c r="E1158" t="b">
        <f>NOT(OR(ISBLANK(tblEmployee[[#This Row],[EndDate]]),tblEmployee[[#This Row],[EndDate]]-tblEmployee[[#This Row],[StartDate]]&gt;90))</f>
        <v>0</v>
      </c>
    </row>
    <row r="1159" spans="1:5" x14ac:dyDescent="0.3">
      <c r="A1159">
        <v>7580</v>
      </c>
      <c r="B1159" s="1">
        <v>41941</v>
      </c>
      <c r="C1159" s="1"/>
      <c r="E1159" t="b">
        <f>NOT(OR(ISBLANK(tblEmployee[[#This Row],[EndDate]]),tblEmployee[[#This Row],[EndDate]]-tblEmployee[[#This Row],[StartDate]]&gt;90))</f>
        <v>0</v>
      </c>
    </row>
    <row r="1160" spans="1:5" x14ac:dyDescent="0.3">
      <c r="A1160">
        <v>7592</v>
      </c>
      <c r="B1160" s="1">
        <v>41697</v>
      </c>
      <c r="C1160" s="1"/>
      <c r="E1160" t="b">
        <f>NOT(OR(ISBLANK(tblEmployee[[#This Row],[EndDate]]),tblEmployee[[#This Row],[EndDate]]-tblEmployee[[#This Row],[StartDate]]&gt;90))</f>
        <v>0</v>
      </c>
    </row>
    <row r="1161" spans="1:5" x14ac:dyDescent="0.3">
      <c r="A1161">
        <v>7593</v>
      </c>
      <c r="B1161" s="1">
        <v>41352</v>
      </c>
      <c r="C1161" s="1"/>
      <c r="E1161" t="b">
        <f>NOT(OR(ISBLANK(tblEmployee[[#This Row],[EndDate]]),tblEmployee[[#This Row],[EndDate]]-tblEmployee[[#This Row],[StartDate]]&gt;90))</f>
        <v>0</v>
      </c>
    </row>
    <row r="1162" spans="1:5" x14ac:dyDescent="0.3">
      <c r="A1162">
        <v>7597</v>
      </c>
      <c r="B1162" s="1">
        <v>38866</v>
      </c>
      <c r="C1162" s="1"/>
      <c r="E1162" t="b">
        <f>NOT(OR(ISBLANK(tblEmployee[[#This Row],[EndDate]]),tblEmployee[[#This Row],[EndDate]]-tblEmployee[[#This Row],[StartDate]]&gt;90))</f>
        <v>0</v>
      </c>
    </row>
    <row r="1163" spans="1:5" x14ac:dyDescent="0.3">
      <c r="A1163">
        <v>7599</v>
      </c>
      <c r="B1163" s="1">
        <v>41539</v>
      </c>
      <c r="C1163" s="1"/>
      <c r="E1163" t="b">
        <f>NOT(OR(ISBLANK(tblEmployee[[#This Row],[EndDate]]),tblEmployee[[#This Row],[EndDate]]-tblEmployee[[#This Row],[StartDate]]&gt;90))</f>
        <v>0</v>
      </c>
    </row>
    <row r="1164" spans="1:5" x14ac:dyDescent="0.3">
      <c r="A1164">
        <v>7601</v>
      </c>
      <c r="B1164" s="1">
        <v>42645</v>
      </c>
      <c r="C1164" s="1"/>
      <c r="E1164" t="b">
        <f>NOT(OR(ISBLANK(tblEmployee[[#This Row],[EndDate]]),tblEmployee[[#This Row],[EndDate]]-tblEmployee[[#This Row],[StartDate]]&gt;90))</f>
        <v>0</v>
      </c>
    </row>
    <row r="1165" spans="1:5" x14ac:dyDescent="0.3">
      <c r="A1165">
        <v>7604</v>
      </c>
      <c r="B1165" s="1">
        <v>42413</v>
      </c>
      <c r="C1165" s="1"/>
      <c r="E1165" t="b">
        <f>NOT(OR(ISBLANK(tblEmployee[[#This Row],[EndDate]]),tblEmployee[[#This Row],[EndDate]]-tblEmployee[[#This Row],[StartDate]]&gt;90))</f>
        <v>0</v>
      </c>
    </row>
    <row r="1166" spans="1:5" x14ac:dyDescent="0.3">
      <c r="A1166">
        <v>7610</v>
      </c>
      <c r="B1166" s="1">
        <v>40506</v>
      </c>
      <c r="C1166" s="1"/>
      <c r="E1166" t="b">
        <f>NOT(OR(ISBLANK(tblEmployee[[#This Row],[EndDate]]),tblEmployee[[#This Row],[EndDate]]-tblEmployee[[#This Row],[StartDate]]&gt;90))</f>
        <v>0</v>
      </c>
    </row>
    <row r="1167" spans="1:5" x14ac:dyDescent="0.3">
      <c r="A1167">
        <v>7640</v>
      </c>
      <c r="B1167" s="1">
        <v>37364</v>
      </c>
      <c r="C1167" s="1"/>
      <c r="E1167" t="b">
        <f>NOT(OR(ISBLANK(tblEmployee[[#This Row],[EndDate]]),tblEmployee[[#This Row],[EndDate]]-tblEmployee[[#This Row],[StartDate]]&gt;90))</f>
        <v>0</v>
      </c>
    </row>
    <row r="1168" spans="1:5" x14ac:dyDescent="0.3">
      <c r="A1168">
        <v>7643</v>
      </c>
      <c r="B1168" s="1">
        <v>41502</v>
      </c>
      <c r="C1168" s="1"/>
      <c r="E1168" t="b">
        <f>NOT(OR(ISBLANK(tblEmployee[[#This Row],[EndDate]]),tblEmployee[[#This Row],[EndDate]]-tblEmployee[[#This Row],[StartDate]]&gt;90))</f>
        <v>0</v>
      </c>
    </row>
    <row r="1169" spans="1:5" x14ac:dyDescent="0.3">
      <c r="A1169">
        <v>7648</v>
      </c>
      <c r="B1169" s="1">
        <v>38843</v>
      </c>
      <c r="C1169" s="1"/>
      <c r="E1169" t="b">
        <f>NOT(OR(ISBLANK(tblEmployee[[#This Row],[EndDate]]),tblEmployee[[#This Row],[EndDate]]-tblEmployee[[#This Row],[StartDate]]&gt;90))</f>
        <v>0</v>
      </c>
    </row>
    <row r="1170" spans="1:5" x14ac:dyDescent="0.3">
      <c r="A1170">
        <v>7650</v>
      </c>
      <c r="B1170" s="1">
        <v>40571</v>
      </c>
      <c r="C1170" s="1"/>
      <c r="E1170" t="b">
        <f>NOT(OR(ISBLANK(tblEmployee[[#This Row],[EndDate]]),tblEmployee[[#This Row],[EndDate]]-tblEmployee[[#This Row],[StartDate]]&gt;90))</f>
        <v>0</v>
      </c>
    </row>
    <row r="1171" spans="1:5" x14ac:dyDescent="0.3">
      <c r="A1171">
        <v>7671</v>
      </c>
      <c r="B1171" s="1">
        <v>37917</v>
      </c>
      <c r="C1171" s="1"/>
      <c r="E1171" t="b">
        <f>NOT(OR(ISBLANK(tblEmployee[[#This Row],[EndDate]]),tblEmployee[[#This Row],[EndDate]]-tblEmployee[[#This Row],[StartDate]]&gt;90))</f>
        <v>0</v>
      </c>
    </row>
    <row r="1172" spans="1:5" x14ac:dyDescent="0.3">
      <c r="A1172">
        <v>7676</v>
      </c>
      <c r="B1172" s="1">
        <v>39239</v>
      </c>
      <c r="C1172" s="1"/>
      <c r="E1172" t="b">
        <f>NOT(OR(ISBLANK(tblEmployee[[#This Row],[EndDate]]),tblEmployee[[#This Row],[EndDate]]-tblEmployee[[#This Row],[StartDate]]&gt;90))</f>
        <v>0</v>
      </c>
    </row>
    <row r="1173" spans="1:5" x14ac:dyDescent="0.3">
      <c r="A1173">
        <v>7677</v>
      </c>
      <c r="B1173" s="1">
        <v>41737</v>
      </c>
      <c r="C1173" s="1"/>
      <c r="E1173" t="b">
        <f>NOT(OR(ISBLANK(tblEmployee[[#This Row],[EndDate]]),tblEmployee[[#This Row],[EndDate]]-tblEmployee[[#This Row],[StartDate]]&gt;90))</f>
        <v>0</v>
      </c>
    </row>
    <row r="1174" spans="1:5" x14ac:dyDescent="0.3">
      <c r="A1174">
        <v>7681</v>
      </c>
      <c r="B1174" s="1">
        <v>37752</v>
      </c>
      <c r="C1174" s="1"/>
      <c r="E1174" t="b">
        <f>NOT(OR(ISBLANK(tblEmployee[[#This Row],[EndDate]]),tblEmployee[[#This Row],[EndDate]]-tblEmployee[[#This Row],[StartDate]]&gt;90))</f>
        <v>0</v>
      </c>
    </row>
    <row r="1175" spans="1:5" x14ac:dyDescent="0.3">
      <c r="A1175">
        <v>7692</v>
      </c>
      <c r="B1175" s="1">
        <v>43989</v>
      </c>
      <c r="C1175" s="1"/>
      <c r="E1175" t="b">
        <f>NOT(OR(ISBLANK(tblEmployee[[#This Row],[EndDate]]),tblEmployee[[#This Row],[EndDate]]-tblEmployee[[#This Row],[StartDate]]&gt;90))</f>
        <v>0</v>
      </c>
    </row>
    <row r="1176" spans="1:5" x14ac:dyDescent="0.3">
      <c r="A1176">
        <v>7698</v>
      </c>
      <c r="B1176" s="1">
        <v>41334</v>
      </c>
      <c r="C1176" s="1"/>
      <c r="E1176" t="b">
        <f>NOT(OR(ISBLANK(tblEmployee[[#This Row],[EndDate]]),tblEmployee[[#This Row],[EndDate]]-tblEmployee[[#This Row],[StartDate]]&gt;90))</f>
        <v>0</v>
      </c>
    </row>
    <row r="1177" spans="1:5" x14ac:dyDescent="0.3">
      <c r="A1177">
        <v>7714</v>
      </c>
      <c r="B1177" s="1">
        <v>38191</v>
      </c>
      <c r="C1177" s="1">
        <v>39935</v>
      </c>
      <c r="D1177" t="s">
        <v>25</v>
      </c>
      <c r="E1177" t="b">
        <f>NOT(OR(ISBLANK(tblEmployee[[#This Row],[EndDate]]),tblEmployee[[#This Row],[EndDate]]-tblEmployee[[#This Row],[StartDate]]&gt;90))</f>
        <v>0</v>
      </c>
    </row>
    <row r="1178" spans="1:5" x14ac:dyDescent="0.3">
      <c r="A1178">
        <v>7717</v>
      </c>
      <c r="B1178" s="1">
        <v>37769</v>
      </c>
      <c r="C1178" s="1"/>
      <c r="E1178" t="b">
        <f>NOT(OR(ISBLANK(tblEmployee[[#This Row],[EndDate]]),tblEmployee[[#This Row],[EndDate]]-tblEmployee[[#This Row],[StartDate]]&gt;90))</f>
        <v>0</v>
      </c>
    </row>
    <row r="1179" spans="1:5" x14ac:dyDescent="0.3">
      <c r="A1179">
        <v>7726</v>
      </c>
      <c r="B1179" s="1">
        <v>44013</v>
      </c>
      <c r="C1179" s="1"/>
      <c r="E1179" t="b">
        <f>NOT(OR(ISBLANK(tblEmployee[[#This Row],[EndDate]]),tblEmployee[[#This Row],[EndDate]]-tblEmployee[[#This Row],[StartDate]]&gt;90))</f>
        <v>0</v>
      </c>
    </row>
    <row r="1180" spans="1:5" x14ac:dyDescent="0.3">
      <c r="A1180">
        <v>7728</v>
      </c>
      <c r="B1180" s="1">
        <v>41654</v>
      </c>
      <c r="C1180" s="1"/>
      <c r="E1180" t="b">
        <f>NOT(OR(ISBLANK(tblEmployee[[#This Row],[EndDate]]),tblEmployee[[#This Row],[EndDate]]-tblEmployee[[#This Row],[StartDate]]&gt;90))</f>
        <v>0</v>
      </c>
    </row>
    <row r="1181" spans="1:5" x14ac:dyDescent="0.3">
      <c r="A1181">
        <v>7729</v>
      </c>
      <c r="B1181" s="1">
        <v>43709</v>
      </c>
      <c r="C1181" s="1">
        <v>44274</v>
      </c>
      <c r="D1181" t="s">
        <v>28</v>
      </c>
      <c r="E1181" t="b">
        <f>NOT(OR(ISBLANK(tblEmployee[[#This Row],[EndDate]]),tblEmployee[[#This Row],[EndDate]]-tblEmployee[[#This Row],[StartDate]]&gt;90))</f>
        <v>0</v>
      </c>
    </row>
    <row r="1182" spans="1:5" x14ac:dyDescent="0.3">
      <c r="A1182">
        <v>7736</v>
      </c>
      <c r="B1182" s="1">
        <v>44106</v>
      </c>
      <c r="C1182" s="1"/>
      <c r="E1182" t="b">
        <f>NOT(OR(ISBLANK(tblEmployee[[#This Row],[EndDate]]),tblEmployee[[#This Row],[EndDate]]-tblEmployee[[#This Row],[StartDate]]&gt;90))</f>
        <v>0</v>
      </c>
    </row>
    <row r="1183" spans="1:5" x14ac:dyDescent="0.3">
      <c r="A1183">
        <v>7750</v>
      </c>
      <c r="B1183" s="1">
        <v>41205</v>
      </c>
      <c r="C1183" s="1">
        <v>41535</v>
      </c>
      <c r="D1183" t="s">
        <v>27</v>
      </c>
      <c r="E1183" t="b">
        <f>NOT(OR(ISBLANK(tblEmployee[[#This Row],[EndDate]]),tblEmployee[[#This Row],[EndDate]]-tblEmployee[[#This Row],[StartDate]]&gt;90))</f>
        <v>0</v>
      </c>
    </row>
    <row r="1184" spans="1:5" x14ac:dyDescent="0.3">
      <c r="A1184">
        <v>7756</v>
      </c>
      <c r="B1184" s="1">
        <v>40950</v>
      </c>
      <c r="C1184" s="1"/>
      <c r="E1184" t="b">
        <f>NOT(OR(ISBLANK(tblEmployee[[#This Row],[EndDate]]),tblEmployee[[#This Row],[EndDate]]-tblEmployee[[#This Row],[StartDate]]&gt;90))</f>
        <v>0</v>
      </c>
    </row>
    <row r="1185" spans="1:5" x14ac:dyDescent="0.3">
      <c r="A1185">
        <v>7765</v>
      </c>
      <c r="B1185" s="1">
        <v>43922</v>
      </c>
      <c r="C1185" s="1">
        <v>44254</v>
      </c>
      <c r="D1185" t="s">
        <v>25</v>
      </c>
      <c r="E1185" t="b">
        <f>NOT(OR(ISBLANK(tblEmployee[[#This Row],[EndDate]]),tblEmployee[[#This Row],[EndDate]]-tblEmployee[[#This Row],[StartDate]]&gt;90))</f>
        <v>0</v>
      </c>
    </row>
    <row r="1186" spans="1:5" x14ac:dyDescent="0.3">
      <c r="A1186">
        <v>7770</v>
      </c>
      <c r="B1186" s="1">
        <v>40679</v>
      </c>
      <c r="C1186" s="1"/>
      <c r="E1186" t="b">
        <f>NOT(OR(ISBLANK(tblEmployee[[#This Row],[EndDate]]),tblEmployee[[#This Row],[EndDate]]-tblEmployee[[#This Row],[StartDate]]&gt;90))</f>
        <v>0</v>
      </c>
    </row>
    <row r="1187" spans="1:5" x14ac:dyDescent="0.3">
      <c r="A1187">
        <v>7772</v>
      </c>
      <c r="B1187" s="1">
        <v>43867</v>
      </c>
      <c r="C1187" s="1"/>
      <c r="E1187" t="b">
        <f>NOT(OR(ISBLANK(tblEmployee[[#This Row],[EndDate]]),tblEmployee[[#This Row],[EndDate]]-tblEmployee[[#This Row],[StartDate]]&gt;90))</f>
        <v>0</v>
      </c>
    </row>
    <row r="1188" spans="1:5" x14ac:dyDescent="0.3">
      <c r="A1188">
        <v>7783</v>
      </c>
      <c r="B1188" s="1">
        <v>38010</v>
      </c>
      <c r="C1188" s="1"/>
      <c r="E1188" t="b">
        <f>NOT(OR(ISBLANK(tblEmployee[[#This Row],[EndDate]]),tblEmployee[[#This Row],[EndDate]]-tblEmployee[[#This Row],[StartDate]]&gt;90))</f>
        <v>0</v>
      </c>
    </row>
    <row r="1189" spans="1:5" x14ac:dyDescent="0.3">
      <c r="A1189">
        <v>7794</v>
      </c>
      <c r="B1189" s="1">
        <v>37897</v>
      </c>
      <c r="C1189" s="1"/>
      <c r="E1189" t="b">
        <f>NOT(OR(ISBLANK(tblEmployee[[#This Row],[EndDate]]),tblEmployee[[#This Row],[EndDate]]-tblEmployee[[#This Row],[StartDate]]&gt;90))</f>
        <v>0</v>
      </c>
    </row>
    <row r="1190" spans="1:5" x14ac:dyDescent="0.3">
      <c r="A1190">
        <v>7797</v>
      </c>
      <c r="B1190" s="1">
        <v>42345</v>
      </c>
      <c r="C1190" s="1"/>
      <c r="E1190" t="b">
        <f>NOT(OR(ISBLANK(tblEmployee[[#This Row],[EndDate]]),tblEmployee[[#This Row],[EndDate]]-tblEmployee[[#This Row],[StartDate]]&gt;90))</f>
        <v>0</v>
      </c>
    </row>
    <row r="1191" spans="1:5" x14ac:dyDescent="0.3">
      <c r="A1191">
        <v>7804</v>
      </c>
      <c r="B1191" s="1">
        <v>41313</v>
      </c>
      <c r="C1191" s="1"/>
      <c r="E1191" t="b">
        <f>NOT(OR(ISBLANK(tblEmployee[[#This Row],[EndDate]]),tblEmployee[[#This Row],[EndDate]]-tblEmployee[[#This Row],[StartDate]]&gt;90))</f>
        <v>0</v>
      </c>
    </row>
    <row r="1192" spans="1:5" x14ac:dyDescent="0.3">
      <c r="A1192">
        <v>7811</v>
      </c>
      <c r="B1192" s="1">
        <v>41674</v>
      </c>
      <c r="C1192" s="1"/>
      <c r="E1192" t="b">
        <f>NOT(OR(ISBLANK(tblEmployee[[#This Row],[EndDate]]),tblEmployee[[#This Row],[EndDate]]-tblEmployee[[#This Row],[StartDate]]&gt;90))</f>
        <v>0</v>
      </c>
    </row>
    <row r="1193" spans="1:5" x14ac:dyDescent="0.3">
      <c r="A1193">
        <v>7813</v>
      </c>
      <c r="B1193" s="1">
        <v>41843</v>
      </c>
      <c r="C1193" s="1"/>
      <c r="E1193" t="b">
        <f>NOT(OR(ISBLANK(tblEmployee[[#This Row],[EndDate]]),tblEmployee[[#This Row],[EndDate]]-tblEmployee[[#This Row],[StartDate]]&gt;90))</f>
        <v>0</v>
      </c>
    </row>
    <row r="1194" spans="1:5" x14ac:dyDescent="0.3">
      <c r="A1194">
        <v>7819</v>
      </c>
      <c r="B1194" s="1">
        <v>40581</v>
      </c>
      <c r="C1194" s="1"/>
      <c r="E1194" t="b">
        <f>NOT(OR(ISBLANK(tblEmployee[[#This Row],[EndDate]]),tblEmployee[[#This Row],[EndDate]]-tblEmployee[[#This Row],[StartDate]]&gt;90))</f>
        <v>0</v>
      </c>
    </row>
    <row r="1195" spans="1:5" x14ac:dyDescent="0.3">
      <c r="A1195">
        <v>7827</v>
      </c>
      <c r="B1195" s="1">
        <v>38584</v>
      </c>
      <c r="C1195" s="1"/>
      <c r="E1195" t="b">
        <f>NOT(OR(ISBLANK(tblEmployee[[#This Row],[EndDate]]),tblEmployee[[#This Row],[EndDate]]-tblEmployee[[#This Row],[StartDate]]&gt;90))</f>
        <v>0</v>
      </c>
    </row>
    <row r="1196" spans="1:5" x14ac:dyDescent="0.3">
      <c r="A1196">
        <v>7829</v>
      </c>
      <c r="B1196" s="1">
        <v>43286</v>
      </c>
      <c r="C1196" s="1"/>
      <c r="E1196" t="b">
        <f>NOT(OR(ISBLANK(tblEmployee[[#This Row],[EndDate]]),tblEmployee[[#This Row],[EndDate]]-tblEmployee[[#This Row],[StartDate]]&gt;90))</f>
        <v>0</v>
      </c>
    </row>
    <row r="1197" spans="1:5" x14ac:dyDescent="0.3">
      <c r="A1197">
        <v>7839</v>
      </c>
      <c r="B1197" s="1">
        <v>43511</v>
      </c>
      <c r="C1197" s="1"/>
      <c r="E1197" t="b">
        <f>NOT(OR(ISBLANK(tblEmployee[[#This Row],[EndDate]]),tblEmployee[[#This Row],[EndDate]]-tblEmployee[[#This Row],[StartDate]]&gt;90))</f>
        <v>0</v>
      </c>
    </row>
    <row r="1198" spans="1:5" x14ac:dyDescent="0.3">
      <c r="A1198">
        <v>7840</v>
      </c>
      <c r="B1198" s="1">
        <v>42880</v>
      </c>
      <c r="C1198" s="1"/>
      <c r="E1198" t="b">
        <f>NOT(OR(ISBLANK(tblEmployee[[#This Row],[EndDate]]),tblEmployee[[#This Row],[EndDate]]-tblEmployee[[#This Row],[StartDate]]&gt;90))</f>
        <v>0</v>
      </c>
    </row>
    <row r="1199" spans="1:5" x14ac:dyDescent="0.3">
      <c r="A1199">
        <v>7841</v>
      </c>
      <c r="B1199" s="1">
        <v>38295</v>
      </c>
      <c r="C1199" s="1"/>
      <c r="E1199" t="b">
        <f>NOT(OR(ISBLANK(tblEmployee[[#This Row],[EndDate]]),tblEmployee[[#This Row],[EndDate]]-tblEmployee[[#This Row],[StartDate]]&gt;90))</f>
        <v>0</v>
      </c>
    </row>
    <row r="1200" spans="1:5" x14ac:dyDescent="0.3">
      <c r="A1200">
        <v>7844</v>
      </c>
      <c r="B1200" s="1">
        <v>41698</v>
      </c>
      <c r="C1200" s="1"/>
      <c r="E1200" t="b">
        <f>NOT(OR(ISBLANK(tblEmployee[[#This Row],[EndDate]]),tblEmployee[[#This Row],[EndDate]]-tblEmployee[[#This Row],[StartDate]]&gt;90))</f>
        <v>0</v>
      </c>
    </row>
    <row r="1201" spans="1:5" x14ac:dyDescent="0.3">
      <c r="A1201">
        <v>7851</v>
      </c>
      <c r="B1201" s="1">
        <v>37703</v>
      </c>
      <c r="C1201" s="1"/>
      <c r="E1201" t="b">
        <f>NOT(OR(ISBLANK(tblEmployee[[#This Row],[EndDate]]),tblEmployee[[#This Row],[EndDate]]-tblEmployee[[#This Row],[StartDate]]&gt;90))</f>
        <v>0</v>
      </c>
    </row>
    <row r="1202" spans="1:5" x14ac:dyDescent="0.3">
      <c r="A1202">
        <v>7869</v>
      </c>
      <c r="B1202" s="1">
        <v>38068</v>
      </c>
      <c r="C1202" s="1"/>
      <c r="E1202" t="b">
        <f>NOT(OR(ISBLANK(tblEmployee[[#This Row],[EndDate]]),tblEmployee[[#This Row],[EndDate]]-tblEmployee[[#This Row],[StartDate]]&gt;90))</f>
        <v>0</v>
      </c>
    </row>
    <row r="1203" spans="1:5" x14ac:dyDescent="0.3">
      <c r="A1203">
        <v>7870</v>
      </c>
      <c r="B1203" s="1">
        <v>42423</v>
      </c>
      <c r="C1203" s="1"/>
      <c r="E1203" t="b">
        <f>NOT(OR(ISBLANK(tblEmployee[[#This Row],[EndDate]]),tblEmployee[[#This Row],[EndDate]]-tblEmployee[[#This Row],[StartDate]]&gt;90))</f>
        <v>0</v>
      </c>
    </row>
    <row r="1204" spans="1:5" x14ac:dyDescent="0.3">
      <c r="A1204">
        <v>7878</v>
      </c>
      <c r="B1204" s="1">
        <v>38338</v>
      </c>
      <c r="C1204" s="1"/>
      <c r="E1204" t="b">
        <f>NOT(OR(ISBLANK(tblEmployee[[#This Row],[EndDate]]),tblEmployee[[#This Row],[EndDate]]-tblEmployee[[#This Row],[StartDate]]&gt;90))</f>
        <v>0</v>
      </c>
    </row>
    <row r="1205" spans="1:5" x14ac:dyDescent="0.3">
      <c r="A1205">
        <v>7881</v>
      </c>
      <c r="B1205" s="1">
        <v>38242</v>
      </c>
      <c r="C1205" s="1"/>
      <c r="E1205" t="b">
        <f>NOT(OR(ISBLANK(tblEmployee[[#This Row],[EndDate]]),tblEmployee[[#This Row],[EndDate]]-tblEmployee[[#This Row],[StartDate]]&gt;90))</f>
        <v>0</v>
      </c>
    </row>
    <row r="1206" spans="1:5" x14ac:dyDescent="0.3">
      <c r="A1206">
        <v>7894</v>
      </c>
      <c r="B1206" s="1">
        <v>43847</v>
      </c>
      <c r="C1206" s="1"/>
      <c r="E1206" t="b">
        <f>NOT(OR(ISBLANK(tblEmployee[[#This Row],[EndDate]]),tblEmployee[[#This Row],[EndDate]]-tblEmployee[[#This Row],[StartDate]]&gt;90))</f>
        <v>0</v>
      </c>
    </row>
    <row r="1207" spans="1:5" x14ac:dyDescent="0.3">
      <c r="A1207">
        <v>7895</v>
      </c>
      <c r="B1207" s="1">
        <v>38193</v>
      </c>
      <c r="C1207" s="1">
        <v>42227</v>
      </c>
      <c r="D1207" t="s">
        <v>25</v>
      </c>
      <c r="E1207" t="b">
        <f>NOT(OR(ISBLANK(tblEmployee[[#This Row],[EndDate]]),tblEmployee[[#This Row],[EndDate]]-tblEmployee[[#This Row],[StartDate]]&gt;90))</f>
        <v>0</v>
      </c>
    </row>
    <row r="1208" spans="1:5" x14ac:dyDescent="0.3">
      <c r="A1208">
        <v>7903</v>
      </c>
      <c r="B1208" s="1">
        <v>42217</v>
      </c>
      <c r="C1208" s="1">
        <v>44381</v>
      </c>
      <c r="D1208" t="s">
        <v>26</v>
      </c>
      <c r="E1208" t="b">
        <f>NOT(OR(ISBLANK(tblEmployee[[#This Row],[EndDate]]),tblEmployee[[#This Row],[EndDate]]-tblEmployee[[#This Row],[StartDate]]&gt;90))</f>
        <v>0</v>
      </c>
    </row>
    <row r="1209" spans="1:5" x14ac:dyDescent="0.3">
      <c r="A1209">
        <v>7910</v>
      </c>
      <c r="B1209" s="1">
        <v>44325</v>
      </c>
      <c r="C1209" s="1">
        <v>44448</v>
      </c>
      <c r="D1209" t="s">
        <v>27</v>
      </c>
      <c r="E1209" t="b">
        <f>NOT(OR(ISBLANK(tblEmployee[[#This Row],[EndDate]]),tblEmployee[[#This Row],[EndDate]]-tblEmployee[[#This Row],[StartDate]]&gt;90))</f>
        <v>0</v>
      </c>
    </row>
    <row r="1210" spans="1:5" x14ac:dyDescent="0.3">
      <c r="A1210">
        <v>7920</v>
      </c>
      <c r="B1210" s="1">
        <v>42377</v>
      </c>
      <c r="C1210" s="1"/>
      <c r="E1210" t="b">
        <f>NOT(OR(ISBLANK(tblEmployee[[#This Row],[EndDate]]),tblEmployee[[#This Row],[EndDate]]-tblEmployee[[#This Row],[StartDate]]&gt;90))</f>
        <v>0</v>
      </c>
    </row>
    <row r="1211" spans="1:5" x14ac:dyDescent="0.3">
      <c r="A1211">
        <v>7924</v>
      </c>
      <c r="B1211" s="1">
        <v>43767</v>
      </c>
      <c r="C1211" s="1">
        <v>44240</v>
      </c>
      <c r="D1211" t="s">
        <v>56</v>
      </c>
      <c r="E1211" t="b">
        <f>NOT(OR(ISBLANK(tblEmployee[[#This Row],[EndDate]]),tblEmployee[[#This Row],[EndDate]]-tblEmployee[[#This Row],[StartDate]]&gt;90))</f>
        <v>0</v>
      </c>
    </row>
    <row r="1212" spans="1:5" x14ac:dyDescent="0.3">
      <c r="A1212">
        <v>7925</v>
      </c>
      <c r="B1212" s="1">
        <v>43411</v>
      </c>
      <c r="C1212" s="1"/>
      <c r="E1212" t="b">
        <f>NOT(OR(ISBLANK(tblEmployee[[#This Row],[EndDate]]),tblEmployee[[#This Row],[EndDate]]-tblEmployee[[#This Row],[StartDate]]&gt;90))</f>
        <v>0</v>
      </c>
    </row>
    <row r="1213" spans="1:5" x14ac:dyDescent="0.3">
      <c r="A1213">
        <v>7928</v>
      </c>
      <c r="B1213" s="1">
        <v>37816</v>
      </c>
      <c r="C1213" s="1"/>
      <c r="E1213" t="b">
        <f>NOT(OR(ISBLANK(tblEmployee[[#This Row],[EndDate]]),tblEmployee[[#This Row],[EndDate]]-tblEmployee[[#This Row],[StartDate]]&gt;90))</f>
        <v>0</v>
      </c>
    </row>
    <row r="1214" spans="1:5" x14ac:dyDescent="0.3">
      <c r="A1214">
        <v>7930</v>
      </c>
      <c r="B1214" s="1">
        <v>41645</v>
      </c>
      <c r="C1214" s="1"/>
      <c r="E1214" t="b">
        <f>NOT(OR(ISBLANK(tblEmployee[[#This Row],[EndDate]]),tblEmployee[[#This Row],[EndDate]]-tblEmployee[[#This Row],[StartDate]]&gt;90))</f>
        <v>0</v>
      </c>
    </row>
    <row r="1215" spans="1:5" x14ac:dyDescent="0.3">
      <c r="A1215">
        <v>7937</v>
      </c>
      <c r="B1215" s="1">
        <v>42457</v>
      </c>
      <c r="C1215" s="1">
        <v>44270</v>
      </c>
      <c r="D1215" t="s">
        <v>56</v>
      </c>
      <c r="E1215" t="b">
        <f>NOT(OR(ISBLANK(tblEmployee[[#This Row],[EndDate]]),tblEmployee[[#This Row],[EndDate]]-tblEmployee[[#This Row],[StartDate]]&gt;90))</f>
        <v>0</v>
      </c>
    </row>
    <row r="1216" spans="1:5" x14ac:dyDescent="0.3">
      <c r="A1216">
        <v>7939</v>
      </c>
      <c r="B1216" s="1">
        <v>42451</v>
      </c>
      <c r="C1216" s="1"/>
      <c r="E1216" t="b">
        <f>NOT(OR(ISBLANK(tblEmployee[[#This Row],[EndDate]]),tblEmployee[[#This Row],[EndDate]]-tblEmployee[[#This Row],[StartDate]]&gt;90))</f>
        <v>0</v>
      </c>
    </row>
    <row r="1217" spans="1:5" x14ac:dyDescent="0.3">
      <c r="A1217">
        <v>7943</v>
      </c>
      <c r="B1217" s="1">
        <v>41100</v>
      </c>
      <c r="C1217" s="1"/>
      <c r="E1217" t="b">
        <f>NOT(OR(ISBLANK(tblEmployee[[#This Row],[EndDate]]),tblEmployee[[#This Row],[EndDate]]-tblEmployee[[#This Row],[StartDate]]&gt;90))</f>
        <v>0</v>
      </c>
    </row>
    <row r="1218" spans="1:5" x14ac:dyDescent="0.3">
      <c r="A1218">
        <v>7944</v>
      </c>
      <c r="B1218" s="1">
        <v>38499</v>
      </c>
      <c r="C1218" s="1"/>
      <c r="E1218" t="b">
        <f>NOT(OR(ISBLANK(tblEmployee[[#This Row],[EndDate]]),tblEmployee[[#This Row],[EndDate]]-tblEmployee[[#This Row],[StartDate]]&gt;90))</f>
        <v>0</v>
      </c>
    </row>
    <row r="1219" spans="1:5" x14ac:dyDescent="0.3">
      <c r="A1219">
        <v>7955</v>
      </c>
      <c r="B1219" s="1">
        <v>38774</v>
      </c>
      <c r="C1219" s="1"/>
      <c r="E1219" t="b">
        <f>NOT(OR(ISBLANK(tblEmployee[[#This Row],[EndDate]]),tblEmployee[[#This Row],[EndDate]]-tblEmployee[[#This Row],[StartDate]]&gt;90))</f>
        <v>0</v>
      </c>
    </row>
    <row r="1220" spans="1:5" x14ac:dyDescent="0.3">
      <c r="A1220">
        <v>7962</v>
      </c>
      <c r="B1220" s="1">
        <v>42745</v>
      </c>
      <c r="C1220" s="1"/>
      <c r="E1220" t="b">
        <f>NOT(OR(ISBLANK(tblEmployee[[#This Row],[EndDate]]),tblEmployee[[#This Row],[EndDate]]-tblEmployee[[#This Row],[StartDate]]&gt;90))</f>
        <v>0</v>
      </c>
    </row>
    <row r="1221" spans="1:5" x14ac:dyDescent="0.3">
      <c r="A1221">
        <v>7963</v>
      </c>
      <c r="B1221" s="1">
        <v>41890</v>
      </c>
      <c r="C1221" s="1">
        <v>43559</v>
      </c>
      <c r="D1221" t="s">
        <v>27</v>
      </c>
      <c r="E1221" t="b">
        <f>NOT(OR(ISBLANK(tblEmployee[[#This Row],[EndDate]]),tblEmployee[[#This Row],[EndDate]]-tblEmployee[[#This Row],[StartDate]]&gt;90))</f>
        <v>0</v>
      </c>
    </row>
    <row r="1222" spans="1:5" x14ac:dyDescent="0.3">
      <c r="A1222">
        <v>7965</v>
      </c>
      <c r="B1222" s="1">
        <v>39141</v>
      </c>
      <c r="C1222" s="1">
        <v>39394</v>
      </c>
      <c r="D1222" t="s">
        <v>25</v>
      </c>
      <c r="E1222" t="b">
        <f>NOT(OR(ISBLANK(tblEmployee[[#This Row],[EndDate]]),tblEmployee[[#This Row],[EndDate]]-tblEmployee[[#This Row],[StartDate]]&gt;90))</f>
        <v>0</v>
      </c>
    </row>
    <row r="1223" spans="1:5" x14ac:dyDescent="0.3">
      <c r="A1223">
        <v>7966</v>
      </c>
      <c r="B1223" s="1">
        <v>40721</v>
      </c>
      <c r="C1223" s="1"/>
      <c r="E1223" t="b">
        <f>NOT(OR(ISBLANK(tblEmployee[[#This Row],[EndDate]]),tblEmployee[[#This Row],[EndDate]]-tblEmployee[[#This Row],[StartDate]]&gt;90))</f>
        <v>0</v>
      </c>
    </row>
    <row r="1224" spans="1:5" x14ac:dyDescent="0.3">
      <c r="A1224">
        <v>7968</v>
      </c>
      <c r="B1224" s="1">
        <v>39599</v>
      </c>
      <c r="C1224" s="1"/>
      <c r="E1224" t="b">
        <f>NOT(OR(ISBLANK(tblEmployee[[#This Row],[EndDate]]),tblEmployee[[#This Row],[EndDate]]-tblEmployee[[#This Row],[StartDate]]&gt;90))</f>
        <v>0</v>
      </c>
    </row>
    <row r="1225" spans="1:5" x14ac:dyDescent="0.3">
      <c r="A1225">
        <v>7970</v>
      </c>
      <c r="B1225" s="1">
        <v>38527</v>
      </c>
      <c r="C1225" s="1"/>
      <c r="E1225" t="b">
        <f>NOT(OR(ISBLANK(tblEmployee[[#This Row],[EndDate]]),tblEmployee[[#This Row],[EndDate]]-tblEmployee[[#This Row],[StartDate]]&gt;90))</f>
        <v>0</v>
      </c>
    </row>
    <row r="1226" spans="1:5" x14ac:dyDescent="0.3">
      <c r="A1226">
        <v>7987</v>
      </c>
      <c r="B1226" s="1">
        <v>38191</v>
      </c>
      <c r="C1226" s="1"/>
      <c r="E1226" t="b">
        <f>NOT(OR(ISBLANK(tblEmployee[[#This Row],[EndDate]]),tblEmployee[[#This Row],[EndDate]]-tblEmployee[[#This Row],[StartDate]]&gt;90))</f>
        <v>0</v>
      </c>
    </row>
    <row r="1227" spans="1:5" x14ac:dyDescent="0.3">
      <c r="A1227">
        <v>7998</v>
      </c>
      <c r="B1227" s="1">
        <v>39737</v>
      </c>
      <c r="C1227" s="1"/>
      <c r="E1227" t="b">
        <f>NOT(OR(ISBLANK(tblEmployee[[#This Row],[EndDate]]),tblEmployee[[#This Row],[EndDate]]-tblEmployee[[#This Row],[StartDate]]&gt;90))</f>
        <v>0</v>
      </c>
    </row>
    <row r="1228" spans="1:5" x14ac:dyDescent="0.3">
      <c r="A1228">
        <v>8001</v>
      </c>
      <c r="B1228" s="1">
        <v>43047</v>
      </c>
      <c r="C1228" s="1"/>
      <c r="E1228" t="b">
        <f>NOT(OR(ISBLANK(tblEmployee[[#This Row],[EndDate]]),tblEmployee[[#This Row],[EndDate]]-tblEmployee[[#This Row],[StartDate]]&gt;90))</f>
        <v>0</v>
      </c>
    </row>
    <row r="1229" spans="1:5" x14ac:dyDescent="0.3">
      <c r="A1229">
        <v>8007</v>
      </c>
      <c r="B1229" s="1">
        <v>37694</v>
      </c>
      <c r="C1229" s="1">
        <v>43105</v>
      </c>
      <c r="D1229" t="s">
        <v>56</v>
      </c>
      <c r="E1229" t="b">
        <f>NOT(OR(ISBLANK(tblEmployee[[#This Row],[EndDate]]),tblEmployee[[#This Row],[EndDate]]-tblEmployee[[#This Row],[StartDate]]&gt;90))</f>
        <v>0</v>
      </c>
    </row>
    <row r="1230" spans="1:5" x14ac:dyDescent="0.3">
      <c r="A1230">
        <v>8012</v>
      </c>
      <c r="B1230" s="1">
        <v>43068</v>
      </c>
      <c r="C1230" s="1"/>
      <c r="E1230" t="b">
        <f>NOT(OR(ISBLANK(tblEmployee[[#This Row],[EndDate]]),tblEmployee[[#This Row],[EndDate]]-tblEmployee[[#This Row],[StartDate]]&gt;90))</f>
        <v>0</v>
      </c>
    </row>
    <row r="1231" spans="1:5" x14ac:dyDescent="0.3">
      <c r="A1231">
        <v>8020</v>
      </c>
      <c r="B1231" s="1">
        <v>42883</v>
      </c>
      <c r="C1231" s="1"/>
      <c r="E1231" t="b">
        <f>NOT(OR(ISBLANK(tblEmployee[[#This Row],[EndDate]]),tblEmployee[[#This Row],[EndDate]]-tblEmployee[[#This Row],[StartDate]]&gt;90))</f>
        <v>0</v>
      </c>
    </row>
    <row r="1232" spans="1:5" x14ac:dyDescent="0.3">
      <c r="A1232">
        <v>8023</v>
      </c>
      <c r="B1232" s="1">
        <v>38078</v>
      </c>
      <c r="C1232" s="1"/>
      <c r="E1232" t="b">
        <f>NOT(OR(ISBLANK(tblEmployee[[#This Row],[EndDate]]),tblEmployee[[#This Row],[EndDate]]-tblEmployee[[#This Row],[StartDate]]&gt;90))</f>
        <v>0</v>
      </c>
    </row>
    <row r="1233" spans="1:5" x14ac:dyDescent="0.3">
      <c r="A1233">
        <v>8024</v>
      </c>
      <c r="B1233" s="1">
        <v>37843</v>
      </c>
      <c r="C1233" s="1"/>
      <c r="E1233" t="b">
        <f>NOT(OR(ISBLANK(tblEmployee[[#This Row],[EndDate]]),tblEmployee[[#This Row],[EndDate]]-tblEmployee[[#This Row],[StartDate]]&gt;90))</f>
        <v>0</v>
      </c>
    </row>
    <row r="1234" spans="1:5" x14ac:dyDescent="0.3">
      <c r="A1234">
        <v>8029</v>
      </c>
      <c r="B1234" s="1">
        <v>40652</v>
      </c>
      <c r="C1234" s="1"/>
      <c r="E1234" t="b">
        <f>NOT(OR(ISBLANK(tblEmployee[[#This Row],[EndDate]]),tblEmployee[[#This Row],[EndDate]]-tblEmployee[[#This Row],[StartDate]]&gt;90))</f>
        <v>0</v>
      </c>
    </row>
    <row r="1235" spans="1:5" x14ac:dyDescent="0.3">
      <c r="A1235">
        <v>8031</v>
      </c>
      <c r="B1235" s="1">
        <v>40199</v>
      </c>
      <c r="C1235" s="1"/>
      <c r="E1235" t="b">
        <f>NOT(OR(ISBLANK(tblEmployee[[#This Row],[EndDate]]),tblEmployee[[#This Row],[EndDate]]-tblEmployee[[#This Row],[StartDate]]&gt;90))</f>
        <v>0</v>
      </c>
    </row>
    <row r="1236" spans="1:5" x14ac:dyDescent="0.3">
      <c r="A1236">
        <v>8039</v>
      </c>
      <c r="B1236" s="1">
        <v>38691</v>
      </c>
      <c r="C1236" s="1"/>
      <c r="E1236" t="b">
        <f>NOT(OR(ISBLANK(tblEmployee[[#This Row],[EndDate]]),tblEmployee[[#This Row],[EndDate]]-tblEmployee[[#This Row],[StartDate]]&gt;90))</f>
        <v>0</v>
      </c>
    </row>
    <row r="1237" spans="1:5" x14ac:dyDescent="0.3">
      <c r="A1237">
        <v>8050</v>
      </c>
      <c r="B1237" s="1">
        <v>41148</v>
      </c>
      <c r="C1237" s="1"/>
      <c r="E1237" t="b">
        <f>NOT(OR(ISBLANK(tblEmployee[[#This Row],[EndDate]]),tblEmployee[[#This Row],[EndDate]]-tblEmployee[[#This Row],[StartDate]]&gt;90))</f>
        <v>0</v>
      </c>
    </row>
    <row r="1238" spans="1:5" x14ac:dyDescent="0.3">
      <c r="A1238">
        <v>8055</v>
      </c>
      <c r="B1238" s="1">
        <v>38079</v>
      </c>
      <c r="C1238" s="1">
        <v>39647</v>
      </c>
      <c r="D1238" t="s">
        <v>30</v>
      </c>
      <c r="E1238" t="b">
        <f>NOT(OR(ISBLANK(tblEmployee[[#This Row],[EndDate]]),tblEmployee[[#This Row],[EndDate]]-tblEmployee[[#This Row],[StartDate]]&gt;90))</f>
        <v>0</v>
      </c>
    </row>
    <row r="1239" spans="1:5" x14ac:dyDescent="0.3">
      <c r="A1239">
        <v>8060</v>
      </c>
      <c r="B1239" s="1">
        <v>38117</v>
      </c>
      <c r="C1239" s="1"/>
      <c r="E1239" t="b">
        <f>NOT(OR(ISBLANK(tblEmployee[[#This Row],[EndDate]]),tblEmployee[[#This Row],[EndDate]]-tblEmployee[[#This Row],[StartDate]]&gt;90))</f>
        <v>0</v>
      </c>
    </row>
    <row r="1240" spans="1:5" x14ac:dyDescent="0.3">
      <c r="A1240">
        <v>8066</v>
      </c>
      <c r="B1240" s="1">
        <v>42724</v>
      </c>
      <c r="C1240" s="1"/>
      <c r="E1240" t="b">
        <f>NOT(OR(ISBLANK(tblEmployee[[#This Row],[EndDate]]),tblEmployee[[#This Row],[EndDate]]-tblEmployee[[#This Row],[StartDate]]&gt;90))</f>
        <v>0</v>
      </c>
    </row>
    <row r="1241" spans="1:5" x14ac:dyDescent="0.3">
      <c r="A1241">
        <v>8096</v>
      </c>
      <c r="B1241" s="1">
        <v>43695</v>
      </c>
      <c r="C1241" s="1">
        <v>44198</v>
      </c>
      <c r="D1241" t="s">
        <v>26</v>
      </c>
      <c r="E1241" t="b">
        <f>NOT(OR(ISBLANK(tblEmployee[[#This Row],[EndDate]]),tblEmployee[[#This Row],[EndDate]]-tblEmployee[[#This Row],[StartDate]]&gt;90))</f>
        <v>0</v>
      </c>
    </row>
    <row r="1242" spans="1:5" x14ac:dyDescent="0.3">
      <c r="A1242">
        <v>8111</v>
      </c>
      <c r="B1242" s="1">
        <v>40022</v>
      </c>
      <c r="C1242" s="1">
        <v>43175</v>
      </c>
      <c r="D1242" t="s">
        <v>56</v>
      </c>
      <c r="E1242" t="b">
        <f>NOT(OR(ISBLANK(tblEmployee[[#This Row],[EndDate]]),tblEmployee[[#This Row],[EndDate]]-tblEmployee[[#This Row],[StartDate]]&gt;90))</f>
        <v>0</v>
      </c>
    </row>
    <row r="1243" spans="1:5" x14ac:dyDescent="0.3">
      <c r="A1243">
        <v>8112</v>
      </c>
      <c r="B1243" s="1">
        <v>40446</v>
      </c>
      <c r="C1243" s="1"/>
      <c r="E1243" t="b">
        <f>NOT(OR(ISBLANK(tblEmployee[[#This Row],[EndDate]]),tblEmployee[[#This Row],[EndDate]]-tblEmployee[[#This Row],[StartDate]]&gt;90))</f>
        <v>0</v>
      </c>
    </row>
    <row r="1244" spans="1:5" x14ac:dyDescent="0.3">
      <c r="A1244">
        <v>8120</v>
      </c>
      <c r="B1244" s="1">
        <v>39981</v>
      </c>
      <c r="C1244" s="1"/>
      <c r="E1244" t="b">
        <f>NOT(OR(ISBLANK(tblEmployee[[#This Row],[EndDate]]),tblEmployee[[#This Row],[EndDate]]-tblEmployee[[#This Row],[StartDate]]&gt;90))</f>
        <v>0</v>
      </c>
    </row>
    <row r="1245" spans="1:5" x14ac:dyDescent="0.3">
      <c r="A1245">
        <v>8123</v>
      </c>
      <c r="B1245" s="1">
        <v>37977</v>
      </c>
      <c r="C1245" s="1"/>
      <c r="E1245" t="b">
        <f>NOT(OR(ISBLANK(tblEmployee[[#This Row],[EndDate]]),tblEmployee[[#This Row],[EndDate]]-tblEmployee[[#This Row],[StartDate]]&gt;90))</f>
        <v>0</v>
      </c>
    </row>
    <row r="1246" spans="1:5" x14ac:dyDescent="0.3">
      <c r="A1246">
        <v>8124</v>
      </c>
      <c r="B1246" s="1">
        <v>43891</v>
      </c>
      <c r="C1246" s="1"/>
      <c r="E1246" t="b">
        <f>NOT(OR(ISBLANK(tblEmployee[[#This Row],[EndDate]]),tblEmployee[[#This Row],[EndDate]]-tblEmployee[[#This Row],[StartDate]]&gt;90))</f>
        <v>0</v>
      </c>
    </row>
    <row r="1247" spans="1:5" x14ac:dyDescent="0.3">
      <c r="A1247">
        <v>8129</v>
      </c>
      <c r="B1247" s="1">
        <v>44102</v>
      </c>
      <c r="C1247" s="1">
        <v>44414</v>
      </c>
      <c r="D1247" t="s">
        <v>56</v>
      </c>
      <c r="E1247" t="b">
        <f>NOT(OR(ISBLANK(tblEmployee[[#This Row],[EndDate]]),tblEmployee[[#This Row],[EndDate]]-tblEmployee[[#This Row],[StartDate]]&gt;90))</f>
        <v>0</v>
      </c>
    </row>
    <row r="1248" spans="1:5" x14ac:dyDescent="0.3">
      <c r="A1248">
        <v>8131</v>
      </c>
      <c r="B1248" s="1">
        <v>42001</v>
      </c>
      <c r="C1248" s="1"/>
      <c r="E1248" t="b">
        <f>NOT(OR(ISBLANK(tblEmployee[[#This Row],[EndDate]]),tblEmployee[[#This Row],[EndDate]]-tblEmployee[[#This Row],[StartDate]]&gt;90))</f>
        <v>0</v>
      </c>
    </row>
    <row r="1249" spans="1:5" x14ac:dyDescent="0.3">
      <c r="A1249">
        <v>8133</v>
      </c>
      <c r="B1249" s="1">
        <v>43863</v>
      </c>
      <c r="C1249" s="1"/>
      <c r="E1249" t="b">
        <f>NOT(OR(ISBLANK(tblEmployee[[#This Row],[EndDate]]),tblEmployee[[#This Row],[EndDate]]-tblEmployee[[#This Row],[StartDate]]&gt;90))</f>
        <v>0</v>
      </c>
    </row>
    <row r="1250" spans="1:5" x14ac:dyDescent="0.3">
      <c r="A1250">
        <v>8138</v>
      </c>
      <c r="B1250" s="1">
        <v>38419</v>
      </c>
      <c r="C1250" s="1">
        <v>39993</v>
      </c>
      <c r="D1250" t="s">
        <v>56</v>
      </c>
      <c r="E1250" t="b">
        <f>NOT(OR(ISBLANK(tblEmployee[[#This Row],[EndDate]]),tblEmployee[[#This Row],[EndDate]]-tblEmployee[[#This Row],[StartDate]]&gt;90))</f>
        <v>0</v>
      </c>
    </row>
    <row r="1251" spans="1:5" x14ac:dyDescent="0.3">
      <c r="A1251">
        <v>8139</v>
      </c>
      <c r="B1251" s="1">
        <v>42221</v>
      </c>
      <c r="C1251" s="1"/>
      <c r="E1251" t="b">
        <f>NOT(OR(ISBLANK(tblEmployee[[#This Row],[EndDate]]),tblEmployee[[#This Row],[EndDate]]-tblEmployee[[#This Row],[StartDate]]&gt;90))</f>
        <v>0</v>
      </c>
    </row>
    <row r="1252" spans="1:5" x14ac:dyDescent="0.3">
      <c r="A1252">
        <v>8142</v>
      </c>
      <c r="B1252" s="1">
        <v>41163</v>
      </c>
      <c r="C1252" s="1"/>
      <c r="E1252" t="b">
        <f>NOT(OR(ISBLANK(tblEmployee[[#This Row],[EndDate]]),tblEmployee[[#This Row],[EndDate]]-tblEmployee[[#This Row],[StartDate]]&gt;90))</f>
        <v>0</v>
      </c>
    </row>
    <row r="1253" spans="1:5" x14ac:dyDescent="0.3">
      <c r="A1253">
        <v>8147</v>
      </c>
      <c r="B1253" s="1">
        <v>40118</v>
      </c>
      <c r="C1253" s="1">
        <v>42440</v>
      </c>
      <c r="D1253" t="s">
        <v>56</v>
      </c>
      <c r="E1253" t="b">
        <f>NOT(OR(ISBLANK(tblEmployee[[#This Row],[EndDate]]),tblEmployee[[#This Row],[EndDate]]-tblEmployee[[#This Row],[StartDate]]&gt;90))</f>
        <v>0</v>
      </c>
    </row>
    <row r="1254" spans="1:5" x14ac:dyDescent="0.3">
      <c r="A1254">
        <v>8158</v>
      </c>
      <c r="B1254" s="1">
        <v>37448</v>
      </c>
      <c r="C1254" s="1"/>
      <c r="E1254" t="b">
        <f>NOT(OR(ISBLANK(tblEmployee[[#This Row],[EndDate]]),tblEmployee[[#This Row],[EndDate]]-tblEmployee[[#This Row],[StartDate]]&gt;90))</f>
        <v>0</v>
      </c>
    </row>
    <row r="1255" spans="1:5" x14ac:dyDescent="0.3">
      <c r="A1255">
        <v>8173</v>
      </c>
      <c r="B1255" s="1">
        <v>42860</v>
      </c>
      <c r="C1255" s="1"/>
      <c r="E1255" t="b">
        <f>NOT(OR(ISBLANK(tblEmployee[[#This Row],[EndDate]]),tblEmployee[[#This Row],[EndDate]]-tblEmployee[[#This Row],[StartDate]]&gt;90))</f>
        <v>0</v>
      </c>
    </row>
    <row r="1256" spans="1:5" x14ac:dyDescent="0.3">
      <c r="A1256">
        <v>8175</v>
      </c>
      <c r="B1256" s="1">
        <v>39852</v>
      </c>
      <c r="C1256" s="1"/>
      <c r="E1256" t="b">
        <f>NOT(OR(ISBLANK(tblEmployee[[#This Row],[EndDate]]),tblEmployee[[#This Row],[EndDate]]-tblEmployee[[#This Row],[StartDate]]&gt;90))</f>
        <v>0</v>
      </c>
    </row>
    <row r="1257" spans="1:5" x14ac:dyDescent="0.3">
      <c r="A1257">
        <v>8188</v>
      </c>
      <c r="B1257" s="1">
        <v>43175</v>
      </c>
      <c r="C1257" s="1"/>
      <c r="E1257" t="b">
        <f>NOT(OR(ISBLANK(tblEmployee[[#This Row],[EndDate]]),tblEmployee[[#This Row],[EndDate]]-tblEmployee[[#This Row],[StartDate]]&gt;90))</f>
        <v>0</v>
      </c>
    </row>
    <row r="1258" spans="1:5" x14ac:dyDescent="0.3">
      <c r="A1258">
        <v>8190</v>
      </c>
      <c r="B1258" s="1">
        <v>42283</v>
      </c>
      <c r="C1258" s="1"/>
      <c r="E1258" t="b">
        <f>NOT(OR(ISBLANK(tblEmployee[[#This Row],[EndDate]]),tblEmployee[[#This Row],[EndDate]]-tblEmployee[[#This Row],[StartDate]]&gt;90))</f>
        <v>0</v>
      </c>
    </row>
    <row r="1259" spans="1:5" x14ac:dyDescent="0.3">
      <c r="A1259">
        <v>8201</v>
      </c>
      <c r="B1259" s="1">
        <v>40250</v>
      </c>
      <c r="C1259" s="1">
        <v>44087</v>
      </c>
      <c r="D1259" t="s">
        <v>26</v>
      </c>
      <c r="E1259" t="b">
        <f>NOT(OR(ISBLANK(tblEmployee[[#This Row],[EndDate]]),tblEmployee[[#This Row],[EndDate]]-tblEmployee[[#This Row],[StartDate]]&gt;90))</f>
        <v>0</v>
      </c>
    </row>
    <row r="1260" spans="1:5" x14ac:dyDescent="0.3">
      <c r="A1260">
        <v>8204</v>
      </c>
      <c r="B1260" s="1">
        <v>41044</v>
      </c>
      <c r="C1260" s="1"/>
      <c r="E1260" t="b">
        <f>NOT(OR(ISBLANK(tblEmployee[[#This Row],[EndDate]]),tblEmployee[[#This Row],[EndDate]]-tblEmployee[[#This Row],[StartDate]]&gt;90))</f>
        <v>0</v>
      </c>
    </row>
    <row r="1261" spans="1:5" x14ac:dyDescent="0.3">
      <c r="A1261">
        <v>8206</v>
      </c>
      <c r="B1261" s="1">
        <v>39052</v>
      </c>
      <c r="C1261" s="1"/>
      <c r="E1261" t="b">
        <f>NOT(OR(ISBLANK(tblEmployee[[#This Row],[EndDate]]),tblEmployee[[#This Row],[EndDate]]-tblEmployee[[#This Row],[StartDate]]&gt;90))</f>
        <v>0</v>
      </c>
    </row>
    <row r="1262" spans="1:5" x14ac:dyDescent="0.3">
      <c r="A1262">
        <v>8223</v>
      </c>
      <c r="B1262" s="1">
        <v>41900</v>
      </c>
      <c r="C1262" s="1">
        <v>41922</v>
      </c>
      <c r="D1262" t="s">
        <v>25</v>
      </c>
      <c r="E1262" t="b">
        <f>NOT(OR(ISBLANK(tblEmployee[[#This Row],[EndDate]]),tblEmployee[[#This Row],[EndDate]]-tblEmployee[[#This Row],[StartDate]]&gt;90))</f>
        <v>1</v>
      </c>
    </row>
    <row r="1263" spans="1:5" x14ac:dyDescent="0.3">
      <c r="A1263">
        <v>8229</v>
      </c>
      <c r="B1263" s="1">
        <v>40002</v>
      </c>
      <c r="C1263" s="1"/>
      <c r="E1263" t="b">
        <f>NOT(OR(ISBLANK(tblEmployee[[#This Row],[EndDate]]),tblEmployee[[#This Row],[EndDate]]-tblEmployee[[#This Row],[StartDate]]&gt;90))</f>
        <v>0</v>
      </c>
    </row>
    <row r="1264" spans="1:5" x14ac:dyDescent="0.3">
      <c r="A1264">
        <v>8238</v>
      </c>
      <c r="B1264" s="1">
        <v>37932</v>
      </c>
      <c r="C1264" s="1"/>
      <c r="E1264" t="b">
        <f>NOT(OR(ISBLANK(tblEmployee[[#This Row],[EndDate]]),tblEmployee[[#This Row],[EndDate]]-tblEmployee[[#This Row],[StartDate]]&gt;90))</f>
        <v>0</v>
      </c>
    </row>
    <row r="1265" spans="1:5" x14ac:dyDescent="0.3">
      <c r="A1265">
        <v>8242</v>
      </c>
      <c r="B1265" s="1">
        <v>41647</v>
      </c>
      <c r="C1265" s="1"/>
      <c r="E1265" t="b">
        <f>NOT(OR(ISBLANK(tblEmployee[[#This Row],[EndDate]]),tblEmployee[[#This Row],[EndDate]]-tblEmployee[[#This Row],[StartDate]]&gt;90))</f>
        <v>0</v>
      </c>
    </row>
    <row r="1266" spans="1:5" x14ac:dyDescent="0.3">
      <c r="A1266">
        <v>8247</v>
      </c>
      <c r="B1266" s="1">
        <v>40143</v>
      </c>
      <c r="C1266" s="1"/>
      <c r="E1266" t="b">
        <f>NOT(OR(ISBLANK(tblEmployee[[#This Row],[EndDate]]),tblEmployee[[#This Row],[EndDate]]-tblEmployee[[#This Row],[StartDate]]&gt;90))</f>
        <v>0</v>
      </c>
    </row>
    <row r="1267" spans="1:5" x14ac:dyDescent="0.3">
      <c r="A1267">
        <v>8252</v>
      </c>
      <c r="B1267" s="1">
        <v>43237</v>
      </c>
      <c r="C1267" s="1"/>
      <c r="E1267" t="b">
        <f>NOT(OR(ISBLANK(tblEmployee[[#This Row],[EndDate]]),tblEmployee[[#This Row],[EndDate]]-tblEmployee[[#This Row],[StartDate]]&gt;90))</f>
        <v>0</v>
      </c>
    </row>
    <row r="1268" spans="1:5" x14ac:dyDescent="0.3">
      <c r="A1268">
        <v>8263</v>
      </c>
      <c r="B1268" s="1">
        <v>40202</v>
      </c>
      <c r="C1268" s="1"/>
      <c r="E1268" t="b">
        <f>NOT(OR(ISBLANK(tblEmployee[[#This Row],[EndDate]]),tblEmployee[[#This Row],[EndDate]]-tblEmployee[[#This Row],[StartDate]]&gt;90))</f>
        <v>0</v>
      </c>
    </row>
    <row r="1269" spans="1:5" x14ac:dyDescent="0.3">
      <c r="A1269">
        <v>8269</v>
      </c>
      <c r="B1269" s="1">
        <v>38379</v>
      </c>
      <c r="C1269" s="1"/>
      <c r="E1269" t="b">
        <f>NOT(OR(ISBLANK(tblEmployee[[#This Row],[EndDate]]),tblEmployee[[#This Row],[EndDate]]-tblEmployee[[#This Row],[StartDate]]&gt;90))</f>
        <v>0</v>
      </c>
    </row>
    <row r="1270" spans="1:5" x14ac:dyDescent="0.3">
      <c r="A1270">
        <v>8270</v>
      </c>
      <c r="B1270" s="1">
        <v>41840</v>
      </c>
      <c r="C1270" s="1"/>
      <c r="E1270" t="b">
        <f>NOT(OR(ISBLANK(tblEmployee[[#This Row],[EndDate]]),tblEmployee[[#This Row],[EndDate]]-tblEmployee[[#This Row],[StartDate]]&gt;90))</f>
        <v>0</v>
      </c>
    </row>
    <row r="1271" spans="1:5" x14ac:dyDescent="0.3">
      <c r="A1271">
        <v>8271</v>
      </c>
      <c r="B1271" s="1">
        <v>43100</v>
      </c>
      <c r="C1271" s="1">
        <v>44031</v>
      </c>
      <c r="D1271" t="s">
        <v>30</v>
      </c>
      <c r="E1271" t="b">
        <f>NOT(OR(ISBLANK(tblEmployee[[#This Row],[EndDate]]),tblEmployee[[#This Row],[EndDate]]-tblEmployee[[#This Row],[StartDate]]&gt;90))</f>
        <v>0</v>
      </c>
    </row>
    <row r="1272" spans="1:5" x14ac:dyDescent="0.3">
      <c r="A1272">
        <v>8282</v>
      </c>
      <c r="B1272" s="1">
        <v>43607</v>
      </c>
      <c r="C1272" s="1"/>
      <c r="E1272" t="b">
        <f>NOT(OR(ISBLANK(tblEmployee[[#This Row],[EndDate]]),tblEmployee[[#This Row],[EndDate]]-tblEmployee[[#This Row],[StartDate]]&gt;90))</f>
        <v>0</v>
      </c>
    </row>
    <row r="1273" spans="1:5" x14ac:dyDescent="0.3">
      <c r="A1273">
        <v>8286</v>
      </c>
      <c r="B1273" s="1">
        <v>39571</v>
      </c>
      <c r="C1273" s="1">
        <v>41788</v>
      </c>
      <c r="D1273" t="s">
        <v>30</v>
      </c>
      <c r="E1273" t="b">
        <f>NOT(OR(ISBLANK(tblEmployee[[#This Row],[EndDate]]),tblEmployee[[#This Row],[EndDate]]-tblEmployee[[#This Row],[StartDate]]&gt;90))</f>
        <v>0</v>
      </c>
    </row>
    <row r="1274" spans="1:5" x14ac:dyDescent="0.3">
      <c r="A1274">
        <v>8290</v>
      </c>
      <c r="B1274" s="1">
        <v>39836</v>
      </c>
      <c r="C1274" s="1"/>
      <c r="E1274" t="b">
        <f>NOT(OR(ISBLANK(tblEmployee[[#This Row],[EndDate]]),tblEmployee[[#This Row],[EndDate]]-tblEmployee[[#This Row],[StartDate]]&gt;90))</f>
        <v>0</v>
      </c>
    </row>
    <row r="1275" spans="1:5" x14ac:dyDescent="0.3">
      <c r="A1275">
        <v>8296</v>
      </c>
      <c r="B1275" s="1">
        <v>44478</v>
      </c>
      <c r="C1275" s="1">
        <v>44513</v>
      </c>
      <c r="D1275" t="s">
        <v>26</v>
      </c>
      <c r="E1275" t="b">
        <f>NOT(OR(ISBLANK(tblEmployee[[#This Row],[EndDate]]),tblEmployee[[#This Row],[EndDate]]-tblEmployee[[#This Row],[StartDate]]&gt;90))</f>
        <v>1</v>
      </c>
    </row>
    <row r="1276" spans="1:5" x14ac:dyDescent="0.3">
      <c r="A1276">
        <v>8304</v>
      </c>
      <c r="B1276" s="1">
        <v>39372</v>
      </c>
      <c r="C1276" s="1"/>
      <c r="E1276" t="b">
        <f>NOT(OR(ISBLANK(tblEmployee[[#This Row],[EndDate]]),tblEmployee[[#This Row],[EndDate]]-tblEmployee[[#This Row],[StartDate]]&gt;90))</f>
        <v>0</v>
      </c>
    </row>
    <row r="1277" spans="1:5" x14ac:dyDescent="0.3">
      <c r="A1277">
        <v>8312</v>
      </c>
      <c r="B1277" s="1">
        <v>39480</v>
      </c>
      <c r="C1277" s="1"/>
      <c r="E1277" t="b">
        <f>NOT(OR(ISBLANK(tblEmployee[[#This Row],[EndDate]]),tblEmployee[[#This Row],[EndDate]]-tblEmployee[[#This Row],[StartDate]]&gt;90))</f>
        <v>0</v>
      </c>
    </row>
    <row r="1278" spans="1:5" x14ac:dyDescent="0.3">
      <c r="A1278">
        <v>8316</v>
      </c>
      <c r="B1278" s="1">
        <v>43608</v>
      </c>
      <c r="C1278" s="1">
        <v>43996</v>
      </c>
      <c r="D1278" t="s">
        <v>30</v>
      </c>
      <c r="E1278" t="b">
        <f>NOT(OR(ISBLANK(tblEmployee[[#This Row],[EndDate]]),tblEmployee[[#This Row],[EndDate]]-tblEmployee[[#This Row],[StartDate]]&gt;90))</f>
        <v>0</v>
      </c>
    </row>
    <row r="1279" spans="1:5" x14ac:dyDescent="0.3">
      <c r="A1279">
        <v>8327</v>
      </c>
      <c r="B1279" s="1">
        <v>43026</v>
      </c>
      <c r="C1279" s="1"/>
      <c r="E1279" t="b">
        <f>NOT(OR(ISBLANK(tblEmployee[[#This Row],[EndDate]]),tblEmployee[[#This Row],[EndDate]]-tblEmployee[[#This Row],[StartDate]]&gt;90))</f>
        <v>0</v>
      </c>
    </row>
    <row r="1280" spans="1:5" x14ac:dyDescent="0.3">
      <c r="A1280">
        <v>8331</v>
      </c>
      <c r="B1280" s="1">
        <v>40534</v>
      </c>
      <c r="C1280" s="1"/>
      <c r="E1280" t="b">
        <f>NOT(OR(ISBLANK(tblEmployee[[#This Row],[EndDate]]),tblEmployee[[#This Row],[EndDate]]-tblEmployee[[#This Row],[StartDate]]&gt;90))</f>
        <v>0</v>
      </c>
    </row>
    <row r="1281" spans="1:5" x14ac:dyDescent="0.3">
      <c r="A1281">
        <v>8334</v>
      </c>
      <c r="B1281" s="1">
        <v>43452</v>
      </c>
      <c r="C1281" s="1"/>
      <c r="E1281" t="b">
        <f>NOT(OR(ISBLANK(tblEmployee[[#This Row],[EndDate]]),tblEmployee[[#This Row],[EndDate]]-tblEmployee[[#This Row],[StartDate]]&gt;90))</f>
        <v>0</v>
      </c>
    </row>
    <row r="1282" spans="1:5" x14ac:dyDescent="0.3">
      <c r="A1282">
        <v>8337</v>
      </c>
      <c r="B1282" s="1">
        <v>40202</v>
      </c>
      <c r="C1282" s="1"/>
      <c r="E1282" t="b">
        <f>NOT(OR(ISBLANK(tblEmployee[[#This Row],[EndDate]]),tblEmployee[[#This Row],[EndDate]]-tblEmployee[[#This Row],[StartDate]]&gt;90))</f>
        <v>0</v>
      </c>
    </row>
    <row r="1283" spans="1:5" x14ac:dyDescent="0.3">
      <c r="A1283">
        <v>8349</v>
      </c>
      <c r="B1283" s="1">
        <v>40773</v>
      </c>
      <c r="C1283" s="1"/>
      <c r="E1283" t="b">
        <f>NOT(OR(ISBLANK(tblEmployee[[#This Row],[EndDate]]),tblEmployee[[#This Row],[EndDate]]-tblEmployee[[#This Row],[StartDate]]&gt;90))</f>
        <v>0</v>
      </c>
    </row>
    <row r="1284" spans="1:5" x14ac:dyDescent="0.3">
      <c r="A1284">
        <v>8365</v>
      </c>
      <c r="B1284" s="1">
        <v>37866</v>
      </c>
      <c r="C1284" s="1"/>
      <c r="E1284" t="b">
        <f>NOT(OR(ISBLANK(tblEmployee[[#This Row],[EndDate]]),tblEmployee[[#This Row],[EndDate]]-tblEmployee[[#This Row],[StartDate]]&gt;90))</f>
        <v>0</v>
      </c>
    </row>
    <row r="1285" spans="1:5" x14ac:dyDescent="0.3">
      <c r="A1285">
        <v>8369</v>
      </c>
      <c r="B1285" s="1">
        <v>40285</v>
      </c>
      <c r="C1285" s="1">
        <v>41499</v>
      </c>
      <c r="D1285" t="s">
        <v>25</v>
      </c>
      <c r="E1285" t="b">
        <f>NOT(OR(ISBLANK(tblEmployee[[#This Row],[EndDate]]),tblEmployee[[#This Row],[EndDate]]-tblEmployee[[#This Row],[StartDate]]&gt;90))</f>
        <v>0</v>
      </c>
    </row>
    <row r="1286" spans="1:5" x14ac:dyDescent="0.3">
      <c r="A1286">
        <v>8373</v>
      </c>
      <c r="B1286" s="1">
        <v>43275</v>
      </c>
      <c r="C1286" s="1"/>
      <c r="E1286" t="b">
        <f>NOT(OR(ISBLANK(tblEmployee[[#This Row],[EndDate]]),tblEmployee[[#This Row],[EndDate]]-tblEmployee[[#This Row],[StartDate]]&gt;90))</f>
        <v>0</v>
      </c>
    </row>
    <row r="1287" spans="1:5" x14ac:dyDescent="0.3">
      <c r="A1287">
        <v>8378</v>
      </c>
      <c r="B1287" s="1">
        <v>39391</v>
      </c>
      <c r="C1287" s="1"/>
      <c r="E1287" t="b">
        <f>NOT(OR(ISBLANK(tblEmployee[[#This Row],[EndDate]]),tblEmployee[[#This Row],[EndDate]]-tblEmployee[[#This Row],[StartDate]]&gt;90))</f>
        <v>0</v>
      </c>
    </row>
    <row r="1288" spans="1:5" x14ac:dyDescent="0.3">
      <c r="A1288">
        <v>8389</v>
      </c>
      <c r="B1288" s="1">
        <v>38324</v>
      </c>
      <c r="C1288" s="1"/>
      <c r="E1288" t="b">
        <f>NOT(OR(ISBLANK(tblEmployee[[#This Row],[EndDate]]),tblEmployee[[#This Row],[EndDate]]-tblEmployee[[#This Row],[StartDate]]&gt;90))</f>
        <v>0</v>
      </c>
    </row>
    <row r="1289" spans="1:5" x14ac:dyDescent="0.3">
      <c r="A1289">
        <v>8397</v>
      </c>
      <c r="B1289" s="1">
        <v>38654</v>
      </c>
      <c r="C1289" s="1"/>
      <c r="E1289" t="b">
        <f>NOT(OR(ISBLANK(tblEmployee[[#This Row],[EndDate]]),tblEmployee[[#This Row],[EndDate]]-tblEmployee[[#This Row],[StartDate]]&gt;90))</f>
        <v>0</v>
      </c>
    </row>
    <row r="1290" spans="1:5" x14ac:dyDescent="0.3">
      <c r="A1290">
        <v>8403</v>
      </c>
      <c r="B1290" s="1">
        <v>42450</v>
      </c>
      <c r="C1290" s="1"/>
      <c r="E1290" t="b">
        <f>NOT(OR(ISBLANK(tblEmployee[[#This Row],[EndDate]]),tblEmployee[[#This Row],[EndDate]]-tblEmployee[[#This Row],[StartDate]]&gt;90))</f>
        <v>0</v>
      </c>
    </row>
    <row r="1291" spans="1:5" x14ac:dyDescent="0.3">
      <c r="A1291">
        <v>8405</v>
      </c>
      <c r="B1291" s="1">
        <v>38098</v>
      </c>
      <c r="C1291" s="1"/>
      <c r="E1291" t="b">
        <f>NOT(OR(ISBLANK(tblEmployee[[#This Row],[EndDate]]),tblEmployee[[#This Row],[EndDate]]-tblEmployee[[#This Row],[StartDate]]&gt;90))</f>
        <v>0</v>
      </c>
    </row>
    <row r="1292" spans="1:5" x14ac:dyDescent="0.3">
      <c r="A1292">
        <v>8410</v>
      </c>
      <c r="B1292" s="1">
        <v>42456</v>
      </c>
      <c r="C1292" s="1"/>
      <c r="E1292" t="b">
        <f>NOT(OR(ISBLANK(tblEmployee[[#This Row],[EndDate]]),tblEmployee[[#This Row],[EndDate]]-tblEmployee[[#This Row],[StartDate]]&gt;90))</f>
        <v>0</v>
      </c>
    </row>
    <row r="1293" spans="1:5" x14ac:dyDescent="0.3">
      <c r="A1293">
        <v>8417</v>
      </c>
      <c r="B1293" s="1">
        <v>44071</v>
      </c>
      <c r="C1293" s="1"/>
      <c r="E1293" t="b">
        <f>NOT(OR(ISBLANK(tblEmployee[[#This Row],[EndDate]]),tblEmployee[[#This Row],[EndDate]]-tblEmployee[[#This Row],[StartDate]]&gt;90))</f>
        <v>0</v>
      </c>
    </row>
    <row r="1294" spans="1:5" x14ac:dyDescent="0.3">
      <c r="A1294">
        <v>8421</v>
      </c>
      <c r="B1294" s="1">
        <v>39371</v>
      </c>
      <c r="C1294" s="1"/>
      <c r="E1294" t="b">
        <f>NOT(OR(ISBLANK(tblEmployee[[#This Row],[EndDate]]),tblEmployee[[#This Row],[EndDate]]-tblEmployee[[#This Row],[StartDate]]&gt;90))</f>
        <v>0</v>
      </c>
    </row>
    <row r="1295" spans="1:5" x14ac:dyDescent="0.3">
      <c r="A1295">
        <v>8423</v>
      </c>
      <c r="B1295" s="1">
        <v>38126</v>
      </c>
      <c r="C1295" s="1">
        <v>43603</v>
      </c>
      <c r="D1295" t="s">
        <v>25</v>
      </c>
      <c r="E1295" t="b">
        <f>NOT(OR(ISBLANK(tblEmployee[[#This Row],[EndDate]]),tblEmployee[[#This Row],[EndDate]]-tblEmployee[[#This Row],[StartDate]]&gt;90))</f>
        <v>0</v>
      </c>
    </row>
    <row r="1296" spans="1:5" x14ac:dyDescent="0.3">
      <c r="A1296">
        <v>8428</v>
      </c>
      <c r="B1296" s="1">
        <v>38674</v>
      </c>
      <c r="C1296" s="1"/>
      <c r="E1296" t="b">
        <f>NOT(OR(ISBLANK(tblEmployee[[#This Row],[EndDate]]),tblEmployee[[#This Row],[EndDate]]-tblEmployee[[#This Row],[StartDate]]&gt;90))</f>
        <v>0</v>
      </c>
    </row>
    <row r="1297" spans="1:5" x14ac:dyDescent="0.3">
      <c r="A1297">
        <v>8436</v>
      </c>
      <c r="B1297" s="1">
        <v>42512</v>
      </c>
      <c r="C1297" s="1"/>
      <c r="E1297" t="b">
        <f>NOT(OR(ISBLANK(tblEmployee[[#This Row],[EndDate]]),tblEmployee[[#This Row],[EndDate]]-tblEmployee[[#This Row],[StartDate]]&gt;90))</f>
        <v>0</v>
      </c>
    </row>
    <row r="1298" spans="1:5" x14ac:dyDescent="0.3">
      <c r="A1298">
        <v>8437</v>
      </c>
      <c r="B1298" s="1">
        <v>39582</v>
      </c>
      <c r="C1298" s="1"/>
      <c r="E1298" t="b">
        <f>NOT(OR(ISBLANK(tblEmployee[[#This Row],[EndDate]]),tblEmployee[[#This Row],[EndDate]]-tblEmployee[[#This Row],[StartDate]]&gt;90))</f>
        <v>0</v>
      </c>
    </row>
    <row r="1299" spans="1:5" x14ac:dyDescent="0.3">
      <c r="A1299">
        <v>8446</v>
      </c>
      <c r="B1299" s="1">
        <v>40576</v>
      </c>
      <c r="C1299" s="1">
        <v>41587</v>
      </c>
      <c r="D1299" t="s">
        <v>56</v>
      </c>
      <c r="E1299" t="b">
        <f>NOT(OR(ISBLANK(tblEmployee[[#This Row],[EndDate]]),tblEmployee[[#This Row],[EndDate]]-tblEmployee[[#This Row],[StartDate]]&gt;90))</f>
        <v>0</v>
      </c>
    </row>
    <row r="1300" spans="1:5" x14ac:dyDescent="0.3">
      <c r="A1300">
        <v>8449</v>
      </c>
      <c r="B1300" s="1">
        <v>41085</v>
      </c>
      <c r="C1300" s="1"/>
      <c r="E1300" t="b">
        <f>NOT(OR(ISBLANK(tblEmployee[[#This Row],[EndDate]]),tblEmployee[[#This Row],[EndDate]]-tblEmployee[[#This Row],[StartDate]]&gt;90))</f>
        <v>0</v>
      </c>
    </row>
    <row r="1301" spans="1:5" x14ac:dyDescent="0.3">
      <c r="A1301">
        <v>8451</v>
      </c>
      <c r="B1301" s="1">
        <v>41425</v>
      </c>
      <c r="C1301" s="1"/>
      <c r="E1301" t="b">
        <f>NOT(OR(ISBLANK(tblEmployee[[#This Row],[EndDate]]),tblEmployee[[#This Row],[EndDate]]-tblEmployee[[#This Row],[StartDate]]&gt;90))</f>
        <v>0</v>
      </c>
    </row>
    <row r="1302" spans="1:5" x14ac:dyDescent="0.3">
      <c r="A1302">
        <v>8455</v>
      </c>
      <c r="B1302" s="1">
        <v>42166</v>
      </c>
      <c r="C1302" s="1"/>
      <c r="E1302" t="b">
        <f>NOT(OR(ISBLANK(tblEmployee[[#This Row],[EndDate]]),tblEmployee[[#This Row],[EndDate]]-tblEmployee[[#This Row],[StartDate]]&gt;90))</f>
        <v>0</v>
      </c>
    </row>
    <row r="1303" spans="1:5" x14ac:dyDescent="0.3">
      <c r="A1303">
        <v>8476</v>
      </c>
      <c r="B1303" s="1">
        <v>40116</v>
      </c>
      <c r="C1303" s="1"/>
      <c r="E1303" t="b">
        <f>NOT(OR(ISBLANK(tblEmployee[[#This Row],[EndDate]]),tblEmployee[[#This Row],[EndDate]]-tblEmployee[[#This Row],[StartDate]]&gt;90))</f>
        <v>0</v>
      </c>
    </row>
    <row r="1304" spans="1:5" x14ac:dyDescent="0.3">
      <c r="A1304">
        <v>8477</v>
      </c>
      <c r="B1304" s="1">
        <v>40282</v>
      </c>
      <c r="C1304" s="1"/>
      <c r="E1304" t="b">
        <f>NOT(OR(ISBLANK(tblEmployee[[#This Row],[EndDate]]),tblEmployee[[#This Row],[EndDate]]-tblEmployee[[#This Row],[StartDate]]&gt;90))</f>
        <v>0</v>
      </c>
    </row>
    <row r="1305" spans="1:5" x14ac:dyDescent="0.3">
      <c r="A1305">
        <v>8483</v>
      </c>
      <c r="B1305" s="1">
        <v>40630</v>
      </c>
      <c r="C1305" s="1"/>
      <c r="E1305" t="b">
        <f>NOT(OR(ISBLANK(tblEmployee[[#This Row],[EndDate]]),tblEmployee[[#This Row],[EndDate]]-tblEmployee[[#This Row],[StartDate]]&gt;90))</f>
        <v>0</v>
      </c>
    </row>
    <row r="1306" spans="1:5" x14ac:dyDescent="0.3">
      <c r="A1306">
        <v>8486</v>
      </c>
      <c r="B1306" s="1">
        <v>40999</v>
      </c>
      <c r="C1306" s="1">
        <v>43697</v>
      </c>
      <c r="D1306" t="s">
        <v>26</v>
      </c>
      <c r="E1306" t="b">
        <f>NOT(OR(ISBLANK(tblEmployee[[#This Row],[EndDate]]),tblEmployee[[#This Row],[EndDate]]-tblEmployee[[#This Row],[StartDate]]&gt;90))</f>
        <v>0</v>
      </c>
    </row>
    <row r="1307" spans="1:5" x14ac:dyDescent="0.3">
      <c r="A1307">
        <v>8494</v>
      </c>
      <c r="B1307" s="1">
        <v>42836</v>
      </c>
      <c r="C1307" s="1"/>
      <c r="E1307" t="b">
        <f>NOT(OR(ISBLANK(tblEmployee[[#This Row],[EndDate]]),tblEmployee[[#This Row],[EndDate]]-tblEmployee[[#This Row],[StartDate]]&gt;90))</f>
        <v>0</v>
      </c>
    </row>
    <row r="1308" spans="1:5" x14ac:dyDescent="0.3">
      <c r="A1308">
        <v>8500</v>
      </c>
      <c r="B1308" s="1">
        <v>42286</v>
      </c>
      <c r="C1308" s="1"/>
      <c r="E1308" t="b">
        <f>NOT(OR(ISBLANK(tblEmployee[[#This Row],[EndDate]]),tblEmployee[[#This Row],[EndDate]]-tblEmployee[[#This Row],[StartDate]]&gt;90))</f>
        <v>0</v>
      </c>
    </row>
    <row r="1309" spans="1:5" x14ac:dyDescent="0.3">
      <c r="A1309">
        <v>8501</v>
      </c>
      <c r="B1309" s="1">
        <v>43156</v>
      </c>
      <c r="C1309" s="1"/>
      <c r="E1309" t="b">
        <f>NOT(OR(ISBLANK(tblEmployee[[#This Row],[EndDate]]),tblEmployee[[#This Row],[EndDate]]-tblEmployee[[#This Row],[StartDate]]&gt;90))</f>
        <v>0</v>
      </c>
    </row>
    <row r="1310" spans="1:5" x14ac:dyDescent="0.3">
      <c r="A1310">
        <v>8505</v>
      </c>
      <c r="B1310" s="1">
        <v>38239</v>
      </c>
      <c r="C1310" s="1"/>
      <c r="E1310" t="b">
        <f>NOT(OR(ISBLANK(tblEmployee[[#This Row],[EndDate]]),tblEmployee[[#This Row],[EndDate]]-tblEmployee[[#This Row],[StartDate]]&gt;90))</f>
        <v>0</v>
      </c>
    </row>
    <row r="1311" spans="1:5" x14ac:dyDescent="0.3">
      <c r="A1311">
        <v>8509</v>
      </c>
      <c r="B1311" s="1">
        <v>42348</v>
      </c>
      <c r="C1311" s="1"/>
      <c r="E1311" t="b">
        <f>NOT(OR(ISBLANK(tblEmployee[[#This Row],[EndDate]]),tblEmployee[[#This Row],[EndDate]]-tblEmployee[[#This Row],[StartDate]]&gt;90))</f>
        <v>0</v>
      </c>
    </row>
    <row r="1312" spans="1:5" x14ac:dyDescent="0.3">
      <c r="A1312">
        <v>8513</v>
      </c>
      <c r="B1312" s="1">
        <v>40598</v>
      </c>
      <c r="C1312" s="1"/>
      <c r="E1312" t="b">
        <f>NOT(OR(ISBLANK(tblEmployee[[#This Row],[EndDate]]),tblEmployee[[#This Row],[EndDate]]-tblEmployee[[#This Row],[StartDate]]&gt;90))</f>
        <v>0</v>
      </c>
    </row>
    <row r="1313" spans="1:5" x14ac:dyDescent="0.3">
      <c r="A1313">
        <v>8514</v>
      </c>
      <c r="B1313" s="1">
        <v>39004</v>
      </c>
      <c r="C1313" s="1"/>
      <c r="E1313" t="b">
        <f>NOT(OR(ISBLANK(tblEmployee[[#This Row],[EndDate]]),tblEmployee[[#This Row],[EndDate]]-tblEmployee[[#This Row],[StartDate]]&gt;90))</f>
        <v>0</v>
      </c>
    </row>
    <row r="1314" spans="1:5" x14ac:dyDescent="0.3">
      <c r="A1314">
        <v>8517</v>
      </c>
      <c r="B1314" s="1">
        <v>38640</v>
      </c>
      <c r="C1314" s="1">
        <v>44437</v>
      </c>
      <c r="D1314" t="s">
        <v>25</v>
      </c>
      <c r="E1314" t="b">
        <f>NOT(OR(ISBLANK(tblEmployee[[#This Row],[EndDate]]),tblEmployee[[#This Row],[EndDate]]-tblEmployee[[#This Row],[StartDate]]&gt;90))</f>
        <v>0</v>
      </c>
    </row>
    <row r="1315" spans="1:5" x14ac:dyDescent="0.3">
      <c r="A1315">
        <v>8518</v>
      </c>
      <c r="B1315" s="1">
        <v>42632</v>
      </c>
      <c r="C1315" s="1"/>
      <c r="E1315" t="b">
        <f>NOT(OR(ISBLANK(tblEmployee[[#This Row],[EndDate]]),tblEmployee[[#This Row],[EndDate]]-tblEmployee[[#This Row],[StartDate]]&gt;90))</f>
        <v>0</v>
      </c>
    </row>
    <row r="1316" spans="1:5" x14ac:dyDescent="0.3">
      <c r="A1316">
        <v>8523</v>
      </c>
      <c r="B1316" s="1">
        <v>42313</v>
      </c>
      <c r="C1316" s="1"/>
      <c r="E1316" t="b">
        <f>NOT(OR(ISBLANK(tblEmployee[[#This Row],[EndDate]]),tblEmployee[[#This Row],[EndDate]]-tblEmployee[[#This Row],[StartDate]]&gt;90))</f>
        <v>0</v>
      </c>
    </row>
    <row r="1317" spans="1:5" x14ac:dyDescent="0.3">
      <c r="A1317">
        <v>8524</v>
      </c>
      <c r="B1317" s="1">
        <v>38804</v>
      </c>
      <c r="C1317" s="1">
        <v>39771</v>
      </c>
      <c r="D1317" t="s">
        <v>56</v>
      </c>
      <c r="E1317" t="b">
        <f>NOT(OR(ISBLANK(tblEmployee[[#This Row],[EndDate]]),tblEmployee[[#This Row],[EndDate]]-tblEmployee[[#This Row],[StartDate]]&gt;90))</f>
        <v>0</v>
      </c>
    </row>
    <row r="1318" spans="1:5" x14ac:dyDescent="0.3">
      <c r="A1318">
        <v>8527</v>
      </c>
      <c r="B1318" s="1">
        <v>39119</v>
      </c>
      <c r="C1318" s="1"/>
      <c r="E1318" t="b">
        <f>NOT(OR(ISBLANK(tblEmployee[[#This Row],[EndDate]]),tblEmployee[[#This Row],[EndDate]]-tblEmployee[[#This Row],[StartDate]]&gt;90))</f>
        <v>0</v>
      </c>
    </row>
    <row r="1319" spans="1:5" x14ac:dyDescent="0.3">
      <c r="A1319">
        <v>8547</v>
      </c>
      <c r="B1319" s="1">
        <v>37996</v>
      </c>
      <c r="C1319" s="1">
        <v>43491</v>
      </c>
      <c r="D1319" t="s">
        <v>30</v>
      </c>
      <c r="E1319" t="b">
        <f>NOT(OR(ISBLANK(tblEmployee[[#This Row],[EndDate]]),tblEmployee[[#This Row],[EndDate]]-tblEmployee[[#This Row],[StartDate]]&gt;90))</f>
        <v>0</v>
      </c>
    </row>
    <row r="1320" spans="1:5" x14ac:dyDescent="0.3">
      <c r="A1320">
        <v>8556</v>
      </c>
      <c r="B1320" s="1">
        <v>38976</v>
      </c>
      <c r="C1320" s="1">
        <v>43336</v>
      </c>
      <c r="D1320" t="s">
        <v>25</v>
      </c>
      <c r="E1320" t="b">
        <f>NOT(OR(ISBLANK(tblEmployee[[#This Row],[EndDate]]),tblEmployee[[#This Row],[EndDate]]-tblEmployee[[#This Row],[StartDate]]&gt;90))</f>
        <v>0</v>
      </c>
    </row>
    <row r="1321" spans="1:5" x14ac:dyDescent="0.3">
      <c r="A1321">
        <v>8561</v>
      </c>
      <c r="B1321" s="1">
        <v>43727</v>
      </c>
      <c r="C1321" s="1"/>
      <c r="E1321" t="b">
        <f>NOT(OR(ISBLANK(tblEmployee[[#This Row],[EndDate]]),tblEmployee[[#This Row],[EndDate]]-tblEmployee[[#This Row],[StartDate]]&gt;90))</f>
        <v>0</v>
      </c>
    </row>
    <row r="1322" spans="1:5" x14ac:dyDescent="0.3">
      <c r="A1322">
        <v>8564</v>
      </c>
      <c r="B1322" s="1">
        <v>42951</v>
      </c>
      <c r="C1322" s="1">
        <v>43878</v>
      </c>
      <c r="D1322" t="s">
        <v>56</v>
      </c>
      <c r="E1322" t="b">
        <f>NOT(OR(ISBLANK(tblEmployee[[#This Row],[EndDate]]),tblEmployee[[#This Row],[EndDate]]-tblEmployee[[#This Row],[StartDate]]&gt;90))</f>
        <v>0</v>
      </c>
    </row>
    <row r="1323" spans="1:5" x14ac:dyDescent="0.3">
      <c r="A1323">
        <v>8565</v>
      </c>
      <c r="B1323" s="1">
        <v>38473</v>
      </c>
      <c r="C1323" s="1"/>
      <c r="E1323" t="b">
        <f>NOT(OR(ISBLANK(tblEmployee[[#This Row],[EndDate]]),tblEmployee[[#This Row],[EndDate]]-tblEmployee[[#This Row],[StartDate]]&gt;90))</f>
        <v>0</v>
      </c>
    </row>
    <row r="1324" spans="1:5" x14ac:dyDescent="0.3">
      <c r="A1324">
        <v>8566</v>
      </c>
      <c r="B1324" s="1">
        <v>40651</v>
      </c>
      <c r="C1324" s="1"/>
      <c r="E1324" t="b">
        <f>NOT(OR(ISBLANK(tblEmployee[[#This Row],[EndDate]]),tblEmployee[[#This Row],[EndDate]]-tblEmployee[[#This Row],[StartDate]]&gt;90))</f>
        <v>0</v>
      </c>
    </row>
    <row r="1325" spans="1:5" x14ac:dyDescent="0.3">
      <c r="A1325">
        <v>8567</v>
      </c>
      <c r="B1325" s="1">
        <v>40977</v>
      </c>
      <c r="C1325" s="1"/>
      <c r="E1325" t="b">
        <f>NOT(OR(ISBLANK(tblEmployee[[#This Row],[EndDate]]),tblEmployee[[#This Row],[EndDate]]-tblEmployee[[#This Row],[StartDate]]&gt;90))</f>
        <v>0</v>
      </c>
    </row>
    <row r="1326" spans="1:5" x14ac:dyDescent="0.3">
      <c r="A1326">
        <v>8572</v>
      </c>
      <c r="B1326" s="1">
        <v>37747</v>
      </c>
      <c r="C1326" s="1">
        <v>43662</v>
      </c>
      <c r="D1326" t="s">
        <v>26</v>
      </c>
      <c r="E1326" t="b">
        <f>NOT(OR(ISBLANK(tblEmployee[[#This Row],[EndDate]]),tblEmployee[[#This Row],[EndDate]]-tblEmployee[[#This Row],[StartDate]]&gt;90))</f>
        <v>0</v>
      </c>
    </row>
    <row r="1327" spans="1:5" x14ac:dyDescent="0.3">
      <c r="A1327">
        <v>8574</v>
      </c>
      <c r="B1327" s="1">
        <v>37349</v>
      </c>
      <c r="C1327" s="1"/>
      <c r="E1327" t="b">
        <f>NOT(OR(ISBLANK(tblEmployee[[#This Row],[EndDate]]),tblEmployee[[#This Row],[EndDate]]-tblEmployee[[#This Row],[StartDate]]&gt;90))</f>
        <v>0</v>
      </c>
    </row>
    <row r="1328" spans="1:5" x14ac:dyDescent="0.3">
      <c r="A1328">
        <v>8575</v>
      </c>
      <c r="B1328" s="1">
        <v>42120</v>
      </c>
      <c r="C1328" s="1"/>
      <c r="E1328" t="b">
        <f>NOT(OR(ISBLANK(tblEmployee[[#This Row],[EndDate]]),tblEmployee[[#This Row],[EndDate]]-tblEmployee[[#This Row],[StartDate]]&gt;90))</f>
        <v>0</v>
      </c>
    </row>
    <row r="1329" spans="1:5" x14ac:dyDescent="0.3">
      <c r="A1329">
        <v>8580</v>
      </c>
      <c r="B1329" s="1">
        <v>37930</v>
      </c>
      <c r="C1329" s="1"/>
      <c r="E1329" t="b">
        <f>NOT(OR(ISBLANK(tblEmployee[[#This Row],[EndDate]]),tblEmployee[[#This Row],[EndDate]]-tblEmployee[[#This Row],[StartDate]]&gt;90))</f>
        <v>0</v>
      </c>
    </row>
    <row r="1330" spans="1:5" x14ac:dyDescent="0.3">
      <c r="A1330">
        <v>8600</v>
      </c>
      <c r="B1330" s="1">
        <v>38865</v>
      </c>
      <c r="C1330" s="1">
        <v>41042</v>
      </c>
      <c r="D1330" t="s">
        <v>29</v>
      </c>
      <c r="E1330" t="b">
        <f>NOT(OR(ISBLANK(tblEmployee[[#This Row],[EndDate]]),tblEmployee[[#This Row],[EndDate]]-tblEmployee[[#This Row],[StartDate]]&gt;90))</f>
        <v>0</v>
      </c>
    </row>
    <row r="1331" spans="1:5" x14ac:dyDescent="0.3">
      <c r="A1331">
        <v>8615</v>
      </c>
      <c r="B1331" s="1">
        <v>41808</v>
      </c>
      <c r="C1331" s="1"/>
      <c r="E1331" t="b">
        <f>NOT(OR(ISBLANK(tblEmployee[[#This Row],[EndDate]]),tblEmployee[[#This Row],[EndDate]]-tblEmployee[[#This Row],[StartDate]]&gt;90))</f>
        <v>0</v>
      </c>
    </row>
    <row r="1332" spans="1:5" x14ac:dyDescent="0.3">
      <c r="A1332">
        <v>8625</v>
      </c>
      <c r="B1332" s="1">
        <v>38007</v>
      </c>
      <c r="C1332" s="1"/>
      <c r="E1332" t="b">
        <f>NOT(OR(ISBLANK(tblEmployee[[#This Row],[EndDate]]),tblEmployee[[#This Row],[EndDate]]-tblEmployee[[#This Row],[StartDate]]&gt;90))</f>
        <v>0</v>
      </c>
    </row>
    <row r="1333" spans="1:5" x14ac:dyDescent="0.3">
      <c r="A1333">
        <v>8641</v>
      </c>
      <c r="B1333" s="1">
        <v>42919</v>
      </c>
      <c r="C1333" s="1">
        <v>43425</v>
      </c>
      <c r="D1333" t="s">
        <v>56</v>
      </c>
      <c r="E1333" t="b">
        <f>NOT(OR(ISBLANK(tblEmployee[[#This Row],[EndDate]]),tblEmployee[[#This Row],[EndDate]]-tblEmployee[[#This Row],[StartDate]]&gt;90))</f>
        <v>0</v>
      </c>
    </row>
    <row r="1334" spans="1:5" x14ac:dyDescent="0.3">
      <c r="A1334">
        <v>8642</v>
      </c>
      <c r="B1334" s="1">
        <v>39330</v>
      </c>
      <c r="C1334" s="1"/>
      <c r="E1334" t="b">
        <f>NOT(OR(ISBLANK(tblEmployee[[#This Row],[EndDate]]),tblEmployee[[#This Row],[EndDate]]-tblEmployee[[#This Row],[StartDate]]&gt;90))</f>
        <v>0</v>
      </c>
    </row>
    <row r="1335" spans="1:5" x14ac:dyDescent="0.3">
      <c r="A1335">
        <v>8645</v>
      </c>
      <c r="B1335" s="1">
        <v>38234</v>
      </c>
      <c r="C1335" s="1"/>
      <c r="E1335" t="b">
        <f>NOT(OR(ISBLANK(tblEmployee[[#This Row],[EndDate]]),tblEmployee[[#This Row],[EndDate]]-tblEmployee[[#This Row],[StartDate]]&gt;90))</f>
        <v>0</v>
      </c>
    </row>
    <row r="1336" spans="1:5" x14ac:dyDescent="0.3">
      <c r="A1336">
        <v>8648</v>
      </c>
      <c r="B1336" s="1">
        <v>43492</v>
      </c>
      <c r="C1336" s="1"/>
      <c r="E1336" t="b">
        <f>NOT(OR(ISBLANK(tblEmployee[[#This Row],[EndDate]]),tblEmployee[[#This Row],[EndDate]]-tblEmployee[[#This Row],[StartDate]]&gt;90))</f>
        <v>0</v>
      </c>
    </row>
    <row r="1337" spans="1:5" x14ac:dyDescent="0.3">
      <c r="A1337">
        <v>8650</v>
      </c>
      <c r="B1337" s="1">
        <v>38049</v>
      </c>
      <c r="C1337" s="1">
        <v>38180</v>
      </c>
      <c r="D1337" t="s">
        <v>56</v>
      </c>
      <c r="E1337" t="b">
        <f>NOT(OR(ISBLANK(tblEmployee[[#This Row],[EndDate]]),tblEmployee[[#This Row],[EndDate]]-tblEmployee[[#This Row],[StartDate]]&gt;90))</f>
        <v>0</v>
      </c>
    </row>
    <row r="1338" spans="1:5" x14ac:dyDescent="0.3">
      <c r="A1338">
        <v>8670</v>
      </c>
      <c r="B1338" s="1">
        <v>43447</v>
      </c>
      <c r="C1338" s="1"/>
      <c r="E1338" t="b">
        <f>NOT(OR(ISBLANK(tblEmployee[[#This Row],[EndDate]]),tblEmployee[[#This Row],[EndDate]]-tblEmployee[[#This Row],[StartDate]]&gt;90))</f>
        <v>0</v>
      </c>
    </row>
    <row r="1339" spans="1:5" x14ac:dyDescent="0.3">
      <c r="A1339">
        <v>8671</v>
      </c>
      <c r="B1339" s="1">
        <v>41851</v>
      </c>
      <c r="C1339" s="1">
        <v>43726</v>
      </c>
      <c r="D1339" t="s">
        <v>56</v>
      </c>
      <c r="E1339" t="b">
        <f>NOT(OR(ISBLANK(tblEmployee[[#This Row],[EndDate]]),tblEmployee[[#This Row],[EndDate]]-tblEmployee[[#This Row],[StartDate]]&gt;90))</f>
        <v>0</v>
      </c>
    </row>
    <row r="1340" spans="1:5" x14ac:dyDescent="0.3">
      <c r="A1340">
        <v>8674</v>
      </c>
      <c r="B1340" s="1">
        <v>38481</v>
      </c>
      <c r="C1340" s="1">
        <v>40167</v>
      </c>
      <c r="D1340" t="s">
        <v>31</v>
      </c>
      <c r="E1340" t="b">
        <f>NOT(OR(ISBLANK(tblEmployee[[#This Row],[EndDate]]),tblEmployee[[#This Row],[EndDate]]-tblEmployee[[#This Row],[StartDate]]&gt;90))</f>
        <v>0</v>
      </c>
    </row>
    <row r="1341" spans="1:5" x14ac:dyDescent="0.3">
      <c r="A1341">
        <v>8678</v>
      </c>
      <c r="B1341" s="1">
        <v>42756</v>
      </c>
      <c r="C1341" s="1"/>
      <c r="E1341" t="b">
        <f>NOT(OR(ISBLANK(tblEmployee[[#This Row],[EndDate]]),tblEmployee[[#This Row],[EndDate]]-tblEmployee[[#This Row],[StartDate]]&gt;90))</f>
        <v>0</v>
      </c>
    </row>
    <row r="1342" spans="1:5" x14ac:dyDescent="0.3">
      <c r="A1342">
        <v>8684</v>
      </c>
      <c r="B1342" s="1">
        <v>43116</v>
      </c>
      <c r="C1342" s="1"/>
      <c r="E1342" t="b">
        <f>NOT(OR(ISBLANK(tblEmployee[[#This Row],[EndDate]]),tblEmployee[[#This Row],[EndDate]]-tblEmployee[[#This Row],[StartDate]]&gt;90))</f>
        <v>0</v>
      </c>
    </row>
    <row r="1343" spans="1:5" x14ac:dyDescent="0.3">
      <c r="A1343">
        <v>8685</v>
      </c>
      <c r="B1343" s="1">
        <v>39116</v>
      </c>
      <c r="C1343" s="1"/>
      <c r="E1343" t="b">
        <f>NOT(OR(ISBLANK(tblEmployee[[#This Row],[EndDate]]),tblEmployee[[#This Row],[EndDate]]-tblEmployee[[#This Row],[StartDate]]&gt;90))</f>
        <v>0</v>
      </c>
    </row>
    <row r="1344" spans="1:5" x14ac:dyDescent="0.3">
      <c r="A1344">
        <v>8706</v>
      </c>
      <c r="B1344" s="1">
        <v>37786</v>
      </c>
      <c r="C1344" s="1"/>
      <c r="E1344" t="b">
        <f>NOT(OR(ISBLANK(tblEmployee[[#This Row],[EndDate]]),tblEmployee[[#This Row],[EndDate]]-tblEmployee[[#This Row],[StartDate]]&gt;90))</f>
        <v>0</v>
      </c>
    </row>
    <row r="1345" spans="1:5" x14ac:dyDescent="0.3">
      <c r="A1345">
        <v>8707</v>
      </c>
      <c r="B1345" s="1">
        <v>37491</v>
      </c>
      <c r="C1345" s="1"/>
      <c r="E1345" t="b">
        <f>NOT(OR(ISBLANK(tblEmployee[[#This Row],[EndDate]]),tblEmployee[[#This Row],[EndDate]]-tblEmployee[[#This Row],[StartDate]]&gt;90))</f>
        <v>0</v>
      </c>
    </row>
    <row r="1346" spans="1:5" x14ac:dyDescent="0.3">
      <c r="A1346">
        <v>8712</v>
      </c>
      <c r="B1346" s="1">
        <v>39180</v>
      </c>
      <c r="C1346" s="1"/>
      <c r="E1346" t="b">
        <f>NOT(OR(ISBLANK(tblEmployee[[#This Row],[EndDate]]),tblEmployee[[#This Row],[EndDate]]-tblEmployee[[#This Row],[StartDate]]&gt;90))</f>
        <v>0</v>
      </c>
    </row>
    <row r="1347" spans="1:5" x14ac:dyDescent="0.3">
      <c r="A1347">
        <v>8716</v>
      </c>
      <c r="B1347" s="1">
        <v>43590</v>
      </c>
      <c r="C1347" s="1"/>
      <c r="E1347" t="b">
        <f>NOT(OR(ISBLANK(tblEmployee[[#This Row],[EndDate]]),tblEmployee[[#This Row],[EndDate]]-tblEmployee[[#This Row],[StartDate]]&gt;90))</f>
        <v>0</v>
      </c>
    </row>
    <row r="1348" spans="1:5" x14ac:dyDescent="0.3">
      <c r="A1348">
        <v>8727</v>
      </c>
      <c r="B1348" s="1">
        <v>40898</v>
      </c>
      <c r="C1348" s="1"/>
      <c r="E1348" t="b">
        <f>NOT(OR(ISBLANK(tblEmployee[[#This Row],[EndDate]]),tblEmployee[[#This Row],[EndDate]]-tblEmployee[[#This Row],[StartDate]]&gt;90))</f>
        <v>0</v>
      </c>
    </row>
    <row r="1349" spans="1:5" x14ac:dyDescent="0.3">
      <c r="A1349">
        <v>8741</v>
      </c>
      <c r="B1349" s="1">
        <v>43364</v>
      </c>
      <c r="C1349" s="1"/>
      <c r="E1349" t="b">
        <f>NOT(OR(ISBLANK(tblEmployee[[#This Row],[EndDate]]),tblEmployee[[#This Row],[EndDate]]-tblEmployee[[#This Row],[StartDate]]&gt;90))</f>
        <v>0</v>
      </c>
    </row>
    <row r="1350" spans="1:5" x14ac:dyDescent="0.3">
      <c r="A1350">
        <v>8745</v>
      </c>
      <c r="B1350" s="1">
        <v>38031</v>
      </c>
      <c r="C1350" s="1"/>
      <c r="E1350" t="b">
        <f>NOT(OR(ISBLANK(tblEmployee[[#This Row],[EndDate]]),tblEmployee[[#This Row],[EndDate]]-tblEmployee[[#This Row],[StartDate]]&gt;90))</f>
        <v>0</v>
      </c>
    </row>
    <row r="1351" spans="1:5" x14ac:dyDescent="0.3">
      <c r="A1351">
        <v>8754</v>
      </c>
      <c r="B1351" s="1">
        <v>37457</v>
      </c>
      <c r="C1351" s="1"/>
      <c r="E1351" t="b">
        <f>NOT(OR(ISBLANK(tblEmployee[[#This Row],[EndDate]]),tblEmployee[[#This Row],[EndDate]]-tblEmployee[[#This Row],[StartDate]]&gt;90))</f>
        <v>0</v>
      </c>
    </row>
    <row r="1352" spans="1:5" x14ac:dyDescent="0.3">
      <c r="A1352">
        <v>8772</v>
      </c>
      <c r="B1352" s="1">
        <v>39360</v>
      </c>
      <c r="C1352" s="1">
        <v>41637</v>
      </c>
      <c r="D1352" t="s">
        <v>30</v>
      </c>
      <c r="E1352" t="b">
        <f>NOT(OR(ISBLANK(tblEmployee[[#This Row],[EndDate]]),tblEmployee[[#This Row],[EndDate]]-tblEmployee[[#This Row],[StartDate]]&gt;90))</f>
        <v>0</v>
      </c>
    </row>
    <row r="1353" spans="1:5" x14ac:dyDescent="0.3">
      <c r="A1353">
        <v>8780</v>
      </c>
      <c r="B1353" s="1">
        <v>39861</v>
      </c>
      <c r="C1353" s="1"/>
      <c r="E1353" t="b">
        <f>NOT(OR(ISBLANK(tblEmployee[[#This Row],[EndDate]]),tblEmployee[[#This Row],[EndDate]]-tblEmployee[[#This Row],[StartDate]]&gt;90))</f>
        <v>0</v>
      </c>
    </row>
    <row r="1354" spans="1:5" x14ac:dyDescent="0.3">
      <c r="A1354">
        <v>8784</v>
      </c>
      <c r="B1354" s="1">
        <v>41158</v>
      </c>
      <c r="C1354" s="1"/>
      <c r="E1354" t="b">
        <f>NOT(OR(ISBLANK(tblEmployee[[#This Row],[EndDate]]),tblEmployee[[#This Row],[EndDate]]-tblEmployee[[#This Row],[StartDate]]&gt;90))</f>
        <v>0</v>
      </c>
    </row>
    <row r="1355" spans="1:5" x14ac:dyDescent="0.3">
      <c r="A1355">
        <v>8790</v>
      </c>
      <c r="B1355" s="1">
        <v>42746</v>
      </c>
      <c r="C1355" s="1"/>
      <c r="E1355" t="b">
        <f>NOT(OR(ISBLANK(tblEmployee[[#This Row],[EndDate]]),tblEmployee[[#This Row],[EndDate]]-tblEmployee[[#This Row],[StartDate]]&gt;90))</f>
        <v>0</v>
      </c>
    </row>
    <row r="1356" spans="1:5" x14ac:dyDescent="0.3">
      <c r="A1356">
        <v>8792</v>
      </c>
      <c r="B1356" s="1">
        <v>38373</v>
      </c>
      <c r="C1356" s="1">
        <v>41619</v>
      </c>
      <c r="D1356" t="s">
        <v>26</v>
      </c>
      <c r="E1356" t="b">
        <f>NOT(OR(ISBLANK(tblEmployee[[#This Row],[EndDate]]),tblEmployee[[#This Row],[EndDate]]-tblEmployee[[#This Row],[StartDate]]&gt;90))</f>
        <v>0</v>
      </c>
    </row>
    <row r="1357" spans="1:5" x14ac:dyDescent="0.3">
      <c r="A1357">
        <v>8796</v>
      </c>
      <c r="B1357" s="1">
        <v>44115</v>
      </c>
      <c r="C1357" s="1"/>
      <c r="E1357" t="b">
        <f>NOT(OR(ISBLANK(tblEmployee[[#This Row],[EndDate]]),tblEmployee[[#This Row],[EndDate]]-tblEmployee[[#This Row],[StartDate]]&gt;90))</f>
        <v>0</v>
      </c>
    </row>
    <row r="1358" spans="1:5" x14ac:dyDescent="0.3">
      <c r="A1358">
        <v>8799</v>
      </c>
      <c r="B1358" s="1">
        <v>41896</v>
      </c>
      <c r="C1358" s="1"/>
      <c r="E1358" t="b">
        <f>NOT(OR(ISBLANK(tblEmployee[[#This Row],[EndDate]]),tblEmployee[[#This Row],[EndDate]]-tblEmployee[[#This Row],[StartDate]]&gt;90))</f>
        <v>0</v>
      </c>
    </row>
    <row r="1359" spans="1:5" x14ac:dyDescent="0.3">
      <c r="A1359">
        <v>8812</v>
      </c>
      <c r="B1359" s="1">
        <v>42792</v>
      </c>
      <c r="C1359" s="1">
        <v>44397</v>
      </c>
      <c r="D1359" t="s">
        <v>56</v>
      </c>
      <c r="E1359" t="b">
        <f>NOT(OR(ISBLANK(tblEmployee[[#This Row],[EndDate]]),tblEmployee[[#This Row],[EndDate]]-tblEmployee[[#This Row],[StartDate]]&gt;90))</f>
        <v>0</v>
      </c>
    </row>
    <row r="1360" spans="1:5" x14ac:dyDescent="0.3">
      <c r="A1360">
        <v>8816</v>
      </c>
      <c r="B1360" s="1">
        <v>39512</v>
      </c>
      <c r="C1360" s="1"/>
      <c r="E1360" t="b">
        <f>NOT(OR(ISBLANK(tblEmployee[[#This Row],[EndDate]]),tblEmployee[[#This Row],[EndDate]]-tblEmployee[[#This Row],[StartDate]]&gt;90))</f>
        <v>0</v>
      </c>
    </row>
    <row r="1361" spans="1:5" x14ac:dyDescent="0.3">
      <c r="A1361">
        <v>8831</v>
      </c>
      <c r="B1361" s="1">
        <v>37991</v>
      </c>
      <c r="C1361" s="1"/>
      <c r="E1361" t="b">
        <f>NOT(OR(ISBLANK(tblEmployee[[#This Row],[EndDate]]),tblEmployee[[#This Row],[EndDate]]-tblEmployee[[#This Row],[StartDate]]&gt;90))</f>
        <v>0</v>
      </c>
    </row>
    <row r="1362" spans="1:5" x14ac:dyDescent="0.3">
      <c r="A1362">
        <v>8834</v>
      </c>
      <c r="B1362" s="1">
        <v>41374</v>
      </c>
      <c r="C1362" s="1"/>
      <c r="E1362" t="b">
        <f>NOT(OR(ISBLANK(tblEmployee[[#This Row],[EndDate]]),tblEmployee[[#This Row],[EndDate]]-tblEmployee[[#This Row],[StartDate]]&gt;90))</f>
        <v>0</v>
      </c>
    </row>
    <row r="1363" spans="1:5" x14ac:dyDescent="0.3">
      <c r="A1363">
        <v>8842</v>
      </c>
      <c r="B1363" s="1">
        <v>37697</v>
      </c>
      <c r="C1363" s="1"/>
      <c r="E1363" t="b">
        <f>NOT(OR(ISBLANK(tblEmployee[[#This Row],[EndDate]]),tblEmployee[[#This Row],[EndDate]]-tblEmployee[[#This Row],[StartDate]]&gt;90))</f>
        <v>0</v>
      </c>
    </row>
    <row r="1364" spans="1:5" x14ac:dyDescent="0.3">
      <c r="A1364">
        <v>8849</v>
      </c>
      <c r="B1364" s="1">
        <v>43370</v>
      </c>
      <c r="C1364" s="1">
        <v>43636</v>
      </c>
      <c r="D1364" t="s">
        <v>25</v>
      </c>
      <c r="E1364" t="b">
        <f>NOT(OR(ISBLANK(tblEmployee[[#This Row],[EndDate]]),tblEmployee[[#This Row],[EndDate]]-tblEmployee[[#This Row],[StartDate]]&gt;90))</f>
        <v>0</v>
      </c>
    </row>
    <row r="1365" spans="1:5" x14ac:dyDescent="0.3">
      <c r="A1365">
        <v>8852</v>
      </c>
      <c r="B1365" s="1">
        <v>40553</v>
      </c>
      <c r="C1365" s="1"/>
      <c r="E1365" t="b">
        <f>NOT(OR(ISBLANK(tblEmployee[[#This Row],[EndDate]]),tblEmployee[[#This Row],[EndDate]]-tblEmployee[[#This Row],[StartDate]]&gt;90))</f>
        <v>0</v>
      </c>
    </row>
    <row r="1366" spans="1:5" x14ac:dyDescent="0.3">
      <c r="A1366">
        <v>8853</v>
      </c>
      <c r="B1366" s="1">
        <v>43336</v>
      </c>
      <c r="C1366" s="1">
        <v>43419</v>
      </c>
      <c r="D1366" t="s">
        <v>56</v>
      </c>
      <c r="E1366" t="b">
        <f>NOT(OR(ISBLANK(tblEmployee[[#This Row],[EndDate]]),tblEmployee[[#This Row],[EndDate]]-tblEmployee[[#This Row],[StartDate]]&gt;90))</f>
        <v>1</v>
      </c>
    </row>
    <row r="1367" spans="1:5" x14ac:dyDescent="0.3">
      <c r="A1367">
        <v>8864</v>
      </c>
      <c r="B1367" s="1">
        <v>41470</v>
      </c>
      <c r="C1367" s="1"/>
      <c r="E1367" t="b">
        <f>NOT(OR(ISBLANK(tblEmployee[[#This Row],[EndDate]]),tblEmployee[[#This Row],[EndDate]]-tblEmployee[[#This Row],[StartDate]]&gt;90))</f>
        <v>0</v>
      </c>
    </row>
    <row r="1368" spans="1:5" x14ac:dyDescent="0.3">
      <c r="A1368">
        <v>8877</v>
      </c>
      <c r="B1368" s="1">
        <v>41044</v>
      </c>
      <c r="C1368" s="1"/>
      <c r="E1368" t="b">
        <f>NOT(OR(ISBLANK(tblEmployee[[#This Row],[EndDate]]),tblEmployee[[#This Row],[EndDate]]-tblEmployee[[#This Row],[StartDate]]&gt;90))</f>
        <v>0</v>
      </c>
    </row>
    <row r="1369" spans="1:5" x14ac:dyDescent="0.3">
      <c r="A1369">
        <v>8878</v>
      </c>
      <c r="B1369" s="1">
        <v>38505</v>
      </c>
      <c r="C1369" s="1"/>
      <c r="E1369" t="b">
        <f>NOT(OR(ISBLANK(tblEmployee[[#This Row],[EndDate]]),tblEmployee[[#This Row],[EndDate]]-tblEmployee[[#This Row],[StartDate]]&gt;90))</f>
        <v>0</v>
      </c>
    </row>
    <row r="1370" spans="1:5" x14ac:dyDescent="0.3">
      <c r="A1370">
        <v>8882</v>
      </c>
      <c r="B1370" s="1">
        <v>39590</v>
      </c>
      <c r="C1370" s="1"/>
      <c r="E1370" t="b">
        <f>NOT(OR(ISBLANK(tblEmployee[[#This Row],[EndDate]]),tblEmployee[[#This Row],[EndDate]]-tblEmployee[[#This Row],[StartDate]]&gt;90))</f>
        <v>0</v>
      </c>
    </row>
    <row r="1371" spans="1:5" x14ac:dyDescent="0.3">
      <c r="A1371">
        <v>8883</v>
      </c>
      <c r="B1371" s="1">
        <v>37504</v>
      </c>
      <c r="C1371" s="1"/>
      <c r="E1371" t="b">
        <f>NOT(OR(ISBLANK(tblEmployee[[#This Row],[EndDate]]),tblEmployee[[#This Row],[EndDate]]-tblEmployee[[#This Row],[StartDate]]&gt;90))</f>
        <v>0</v>
      </c>
    </row>
    <row r="1372" spans="1:5" x14ac:dyDescent="0.3">
      <c r="A1372">
        <v>8891</v>
      </c>
      <c r="B1372" s="1">
        <v>39286</v>
      </c>
      <c r="C1372" s="1"/>
      <c r="E1372" t="b">
        <f>NOT(OR(ISBLANK(tblEmployee[[#This Row],[EndDate]]),tblEmployee[[#This Row],[EndDate]]-tblEmployee[[#This Row],[StartDate]]&gt;90))</f>
        <v>0</v>
      </c>
    </row>
    <row r="1373" spans="1:5" x14ac:dyDescent="0.3">
      <c r="A1373">
        <v>8902</v>
      </c>
      <c r="B1373" s="1">
        <v>41305</v>
      </c>
      <c r="C1373" s="1"/>
      <c r="E1373" t="b">
        <f>NOT(OR(ISBLANK(tblEmployee[[#This Row],[EndDate]]),tblEmployee[[#This Row],[EndDate]]-tblEmployee[[#This Row],[StartDate]]&gt;90))</f>
        <v>0</v>
      </c>
    </row>
    <row r="1374" spans="1:5" x14ac:dyDescent="0.3">
      <c r="A1374">
        <v>8903</v>
      </c>
      <c r="B1374" s="1">
        <v>37413</v>
      </c>
      <c r="C1374" s="1"/>
      <c r="E1374" t="b">
        <f>NOT(OR(ISBLANK(tblEmployee[[#This Row],[EndDate]]),tblEmployee[[#This Row],[EndDate]]-tblEmployee[[#This Row],[StartDate]]&gt;90))</f>
        <v>0</v>
      </c>
    </row>
    <row r="1375" spans="1:5" x14ac:dyDescent="0.3">
      <c r="A1375">
        <v>8904</v>
      </c>
      <c r="B1375" s="1">
        <v>42497</v>
      </c>
      <c r="C1375" s="1"/>
      <c r="E1375" t="b">
        <f>NOT(OR(ISBLANK(tblEmployee[[#This Row],[EndDate]]),tblEmployee[[#This Row],[EndDate]]-tblEmployee[[#This Row],[StartDate]]&gt;90))</f>
        <v>0</v>
      </c>
    </row>
    <row r="1376" spans="1:5" x14ac:dyDescent="0.3">
      <c r="A1376">
        <v>8905</v>
      </c>
      <c r="B1376" s="1">
        <v>41646</v>
      </c>
      <c r="C1376" s="1"/>
      <c r="E1376" t="b">
        <f>NOT(OR(ISBLANK(tblEmployee[[#This Row],[EndDate]]),tblEmployee[[#This Row],[EndDate]]-tblEmployee[[#This Row],[StartDate]]&gt;90))</f>
        <v>0</v>
      </c>
    </row>
    <row r="1377" spans="1:5" x14ac:dyDescent="0.3">
      <c r="A1377">
        <v>8907</v>
      </c>
      <c r="B1377" s="1">
        <v>42171</v>
      </c>
      <c r="C1377" s="1"/>
      <c r="E1377" t="b">
        <f>NOT(OR(ISBLANK(tblEmployee[[#This Row],[EndDate]]),tblEmployee[[#This Row],[EndDate]]-tblEmployee[[#This Row],[StartDate]]&gt;90))</f>
        <v>0</v>
      </c>
    </row>
    <row r="1378" spans="1:5" x14ac:dyDescent="0.3">
      <c r="A1378">
        <v>8917</v>
      </c>
      <c r="B1378" s="1">
        <v>38522</v>
      </c>
      <c r="C1378" s="1"/>
      <c r="E1378" t="b">
        <f>NOT(OR(ISBLANK(tblEmployee[[#This Row],[EndDate]]),tblEmployee[[#This Row],[EndDate]]-tblEmployee[[#This Row],[StartDate]]&gt;90))</f>
        <v>0</v>
      </c>
    </row>
    <row r="1379" spans="1:5" x14ac:dyDescent="0.3">
      <c r="A1379">
        <v>8934</v>
      </c>
      <c r="B1379" s="1">
        <v>38538</v>
      </c>
      <c r="C1379" s="1"/>
      <c r="E1379" t="b">
        <f>NOT(OR(ISBLANK(tblEmployee[[#This Row],[EndDate]]),tblEmployee[[#This Row],[EndDate]]-tblEmployee[[#This Row],[StartDate]]&gt;90))</f>
        <v>0</v>
      </c>
    </row>
    <row r="1380" spans="1:5" x14ac:dyDescent="0.3">
      <c r="A1380">
        <v>8960</v>
      </c>
      <c r="B1380" s="1">
        <v>43643</v>
      </c>
      <c r="C1380" s="1"/>
      <c r="E1380" t="b">
        <f>NOT(OR(ISBLANK(tblEmployee[[#This Row],[EndDate]]),tblEmployee[[#This Row],[EndDate]]-tblEmployee[[#This Row],[StartDate]]&gt;90))</f>
        <v>0</v>
      </c>
    </row>
    <row r="1381" spans="1:5" x14ac:dyDescent="0.3">
      <c r="A1381">
        <v>8966</v>
      </c>
      <c r="B1381" s="1">
        <v>42108</v>
      </c>
      <c r="C1381" s="1">
        <v>44072</v>
      </c>
      <c r="D1381" t="s">
        <v>26</v>
      </c>
      <c r="E1381" t="b">
        <f>NOT(OR(ISBLANK(tblEmployee[[#This Row],[EndDate]]),tblEmployee[[#This Row],[EndDate]]-tblEmployee[[#This Row],[StartDate]]&gt;90))</f>
        <v>0</v>
      </c>
    </row>
    <row r="1382" spans="1:5" x14ac:dyDescent="0.3">
      <c r="A1382">
        <v>8973</v>
      </c>
      <c r="B1382" s="1">
        <v>42911</v>
      </c>
      <c r="C1382" s="1"/>
      <c r="E1382" t="b">
        <f>NOT(OR(ISBLANK(tblEmployee[[#This Row],[EndDate]]),tblEmployee[[#This Row],[EndDate]]-tblEmployee[[#This Row],[StartDate]]&gt;90))</f>
        <v>0</v>
      </c>
    </row>
    <row r="1383" spans="1:5" x14ac:dyDescent="0.3">
      <c r="A1383">
        <v>8974</v>
      </c>
      <c r="B1383" s="1">
        <v>38481</v>
      </c>
      <c r="C1383" s="1"/>
      <c r="E1383" t="b">
        <f>NOT(OR(ISBLANK(tblEmployee[[#This Row],[EndDate]]),tblEmployee[[#This Row],[EndDate]]-tblEmployee[[#This Row],[StartDate]]&gt;90))</f>
        <v>0</v>
      </c>
    </row>
    <row r="1384" spans="1:5" x14ac:dyDescent="0.3">
      <c r="A1384">
        <v>8979</v>
      </c>
      <c r="B1384" s="1">
        <v>38267</v>
      </c>
      <c r="C1384" s="1"/>
      <c r="E1384" t="b">
        <f>NOT(OR(ISBLANK(tblEmployee[[#This Row],[EndDate]]),tblEmployee[[#This Row],[EndDate]]-tblEmployee[[#This Row],[StartDate]]&gt;90))</f>
        <v>0</v>
      </c>
    </row>
    <row r="1385" spans="1:5" x14ac:dyDescent="0.3">
      <c r="A1385">
        <v>8996</v>
      </c>
      <c r="B1385" s="1">
        <v>40696</v>
      </c>
      <c r="C1385" s="1">
        <v>43509</v>
      </c>
      <c r="D1385" t="s">
        <v>28</v>
      </c>
      <c r="E1385" t="b">
        <f>NOT(OR(ISBLANK(tblEmployee[[#This Row],[EndDate]]),tblEmployee[[#This Row],[EndDate]]-tblEmployee[[#This Row],[StartDate]]&gt;90))</f>
        <v>0</v>
      </c>
    </row>
    <row r="1386" spans="1:5" x14ac:dyDescent="0.3">
      <c r="A1386">
        <v>9001</v>
      </c>
      <c r="B1386" s="1">
        <v>44430</v>
      </c>
      <c r="C1386" s="1">
        <v>44484</v>
      </c>
      <c r="D1386" t="s">
        <v>29</v>
      </c>
      <c r="E1386" t="b">
        <f>NOT(OR(ISBLANK(tblEmployee[[#This Row],[EndDate]]),tblEmployee[[#This Row],[EndDate]]-tblEmployee[[#This Row],[StartDate]]&gt;90))</f>
        <v>1</v>
      </c>
    </row>
    <row r="1387" spans="1:5" x14ac:dyDescent="0.3">
      <c r="A1387">
        <v>9003</v>
      </c>
      <c r="B1387" s="1">
        <v>43067</v>
      </c>
      <c r="C1387" s="1"/>
      <c r="E1387" t="b">
        <f>NOT(OR(ISBLANK(tblEmployee[[#This Row],[EndDate]]),tblEmployee[[#This Row],[EndDate]]-tblEmployee[[#This Row],[StartDate]]&gt;90))</f>
        <v>0</v>
      </c>
    </row>
    <row r="1388" spans="1:5" x14ac:dyDescent="0.3">
      <c r="A1388">
        <v>9010</v>
      </c>
      <c r="B1388" s="1">
        <v>41297</v>
      </c>
      <c r="C1388" s="1"/>
      <c r="E1388" t="b">
        <f>NOT(OR(ISBLANK(tblEmployee[[#This Row],[EndDate]]),tblEmployee[[#This Row],[EndDate]]-tblEmployee[[#This Row],[StartDate]]&gt;90))</f>
        <v>0</v>
      </c>
    </row>
    <row r="1389" spans="1:5" x14ac:dyDescent="0.3">
      <c r="A1389">
        <v>9011</v>
      </c>
      <c r="B1389" s="1">
        <v>38260</v>
      </c>
      <c r="C1389" s="1"/>
      <c r="E1389" t="b">
        <f>NOT(OR(ISBLANK(tblEmployee[[#This Row],[EndDate]]),tblEmployee[[#This Row],[EndDate]]-tblEmployee[[#This Row],[StartDate]]&gt;90))</f>
        <v>0</v>
      </c>
    </row>
    <row r="1390" spans="1:5" x14ac:dyDescent="0.3">
      <c r="A1390">
        <v>9014</v>
      </c>
      <c r="B1390" s="1">
        <v>41083</v>
      </c>
      <c r="C1390" s="1"/>
      <c r="E1390" t="b">
        <f>NOT(OR(ISBLANK(tblEmployee[[#This Row],[EndDate]]),tblEmployee[[#This Row],[EndDate]]-tblEmployee[[#This Row],[StartDate]]&gt;90))</f>
        <v>0</v>
      </c>
    </row>
    <row r="1391" spans="1:5" x14ac:dyDescent="0.3">
      <c r="A1391">
        <v>9021</v>
      </c>
      <c r="B1391" s="1">
        <v>43233</v>
      </c>
      <c r="C1391" s="1"/>
      <c r="E1391" t="b">
        <f>NOT(OR(ISBLANK(tblEmployee[[#This Row],[EndDate]]),tblEmployee[[#This Row],[EndDate]]-tblEmployee[[#This Row],[StartDate]]&gt;90))</f>
        <v>0</v>
      </c>
    </row>
    <row r="1392" spans="1:5" x14ac:dyDescent="0.3">
      <c r="A1392">
        <v>9027</v>
      </c>
      <c r="B1392" s="1">
        <v>41426</v>
      </c>
      <c r="C1392" s="1"/>
      <c r="E1392" t="b">
        <f>NOT(OR(ISBLANK(tblEmployee[[#This Row],[EndDate]]),tblEmployee[[#This Row],[EndDate]]-tblEmployee[[#This Row],[StartDate]]&gt;90))</f>
        <v>0</v>
      </c>
    </row>
    <row r="1393" spans="1:5" x14ac:dyDescent="0.3">
      <c r="A1393">
        <v>9036</v>
      </c>
      <c r="B1393" s="1">
        <v>44078</v>
      </c>
      <c r="C1393" s="1"/>
      <c r="E1393" t="b">
        <f>NOT(OR(ISBLANK(tblEmployee[[#This Row],[EndDate]]),tblEmployee[[#This Row],[EndDate]]-tblEmployee[[#This Row],[StartDate]]&gt;90))</f>
        <v>0</v>
      </c>
    </row>
    <row r="1394" spans="1:5" x14ac:dyDescent="0.3">
      <c r="A1394">
        <v>9044</v>
      </c>
      <c r="B1394" s="1">
        <v>43386</v>
      </c>
      <c r="C1394" s="1">
        <v>44191</v>
      </c>
      <c r="D1394" t="s">
        <v>27</v>
      </c>
      <c r="E1394" t="b">
        <f>NOT(OR(ISBLANK(tblEmployee[[#This Row],[EndDate]]),tblEmployee[[#This Row],[EndDate]]-tblEmployee[[#This Row],[StartDate]]&gt;90))</f>
        <v>0</v>
      </c>
    </row>
    <row r="1395" spans="1:5" x14ac:dyDescent="0.3">
      <c r="A1395">
        <v>9048</v>
      </c>
      <c r="B1395" s="1">
        <v>39334</v>
      </c>
      <c r="C1395" s="1"/>
      <c r="E1395" t="b">
        <f>NOT(OR(ISBLANK(tblEmployee[[#This Row],[EndDate]]),tblEmployee[[#This Row],[EndDate]]-tblEmployee[[#This Row],[StartDate]]&gt;90))</f>
        <v>0</v>
      </c>
    </row>
    <row r="1396" spans="1:5" x14ac:dyDescent="0.3">
      <c r="A1396">
        <v>9059</v>
      </c>
      <c r="B1396" s="1">
        <v>42242</v>
      </c>
      <c r="C1396" s="1">
        <v>44128</v>
      </c>
      <c r="D1396" t="s">
        <v>56</v>
      </c>
      <c r="E1396" t="b">
        <f>NOT(OR(ISBLANK(tblEmployee[[#This Row],[EndDate]]),tblEmployee[[#This Row],[EndDate]]-tblEmployee[[#This Row],[StartDate]]&gt;90))</f>
        <v>0</v>
      </c>
    </row>
    <row r="1397" spans="1:5" x14ac:dyDescent="0.3">
      <c r="A1397">
        <v>9063</v>
      </c>
      <c r="B1397" s="1">
        <v>38854</v>
      </c>
      <c r="C1397" s="1">
        <v>42604</v>
      </c>
      <c r="D1397" t="s">
        <v>56</v>
      </c>
      <c r="E1397" t="b">
        <f>NOT(OR(ISBLANK(tblEmployee[[#This Row],[EndDate]]),tblEmployee[[#This Row],[EndDate]]-tblEmployee[[#This Row],[StartDate]]&gt;90))</f>
        <v>0</v>
      </c>
    </row>
    <row r="1398" spans="1:5" x14ac:dyDescent="0.3">
      <c r="A1398">
        <v>9069</v>
      </c>
      <c r="B1398" s="1">
        <v>42872</v>
      </c>
      <c r="C1398" s="1"/>
      <c r="E1398" t="b">
        <f>NOT(OR(ISBLANK(tblEmployee[[#This Row],[EndDate]]),tblEmployee[[#This Row],[EndDate]]-tblEmployee[[#This Row],[StartDate]]&gt;90))</f>
        <v>0</v>
      </c>
    </row>
    <row r="1399" spans="1:5" x14ac:dyDescent="0.3">
      <c r="A1399">
        <v>9075</v>
      </c>
      <c r="B1399" s="1">
        <v>40019</v>
      </c>
      <c r="C1399" s="1"/>
      <c r="E1399" t="b">
        <f>NOT(OR(ISBLANK(tblEmployee[[#This Row],[EndDate]]),tblEmployee[[#This Row],[EndDate]]-tblEmployee[[#This Row],[StartDate]]&gt;90))</f>
        <v>0</v>
      </c>
    </row>
    <row r="1400" spans="1:5" x14ac:dyDescent="0.3">
      <c r="A1400">
        <v>9082</v>
      </c>
      <c r="B1400" s="1">
        <v>38745</v>
      </c>
      <c r="C1400" s="1"/>
      <c r="E1400" t="b">
        <f>NOT(OR(ISBLANK(tblEmployee[[#This Row],[EndDate]]),tblEmployee[[#This Row],[EndDate]]-tblEmployee[[#This Row],[StartDate]]&gt;90))</f>
        <v>0</v>
      </c>
    </row>
    <row r="1401" spans="1:5" x14ac:dyDescent="0.3">
      <c r="A1401">
        <v>9087</v>
      </c>
      <c r="B1401" s="1">
        <v>40651</v>
      </c>
      <c r="C1401" s="1"/>
      <c r="E1401" t="b">
        <f>NOT(OR(ISBLANK(tblEmployee[[#This Row],[EndDate]]),tblEmployee[[#This Row],[EndDate]]-tblEmployee[[#This Row],[StartDate]]&gt;90))</f>
        <v>0</v>
      </c>
    </row>
    <row r="1402" spans="1:5" x14ac:dyDescent="0.3">
      <c r="A1402">
        <v>9091</v>
      </c>
      <c r="B1402" s="1">
        <v>42503</v>
      </c>
      <c r="C1402" s="1"/>
      <c r="E1402" t="b">
        <f>NOT(OR(ISBLANK(tblEmployee[[#This Row],[EndDate]]),tblEmployee[[#This Row],[EndDate]]-tblEmployee[[#This Row],[StartDate]]&gt;90))</f>
        <v>0</v>
      </c>
    </row>
    <row r="1403" spans="1:5" x14ac:dyDescent="0.3">
      <c r="A1403">
        <v>9095</v>
      </c>
      <c r="B1403" s="1">
        <v>43742</v>
      </c>
      <c r="C1403" s="1"/>
      <c r="E1403" t="b">
        <f>NOT(OR(ISBLANK(tblEmployee[[#This Row],[EndDate]]),tblEmployee[[#This Row],[EndDate]]-tblEmployee[[#This Row],[StartDate]]&gt;90))</f>
        <v>0</v>
      </c>
    </row>
    <row r="1404" spans="1:5" x14ac:dyDescent="0.3">
      <c r="A1404">
        <v>9100</v>
      </c>
      <c r="B1404" s="1">
        <v>43739</v>
      </c>
      <c r="C1404" s="1">
        <v>43755</v>
      </c>
      <c r="D1404" t="s">
        <v>25</v>
      </c>
      <c r="E1404" t="b">
        <f>NOT(OR(ISBLANK(tblEmployee[[#This Row],[EndDate]]),tblEmployee[[#This Row],[EndDate]]-tblEmployee[[#This Row],[StartDate]]&gt;90))</f>
        <v>1</v>
      </c>
    </row>
    <row r="1405" spans="1:5" x14ac:dyDescent="0.3">
      <c r="A1405">
        <v>9103</v>
      </c>
      <c r="B1405" s="1">
        <v>44105</v>
      </c>
      <c r="C1405" s="1"/>
      <c r="E1405" t="b">
        <f>NOT(OR(ISBLANK(tblEmployee[[#This Row],[EndDate]]),tblEmployee[[#This Row],[EndDate]]-tblEmployee[[#This Row],[StartDate]]&gt;90))</f>
        <v>0</v>
      </c>
    </row>
    <row r="1406" spans="1:5" x14ac:dyDescent="0.3">
      <c r="A1406">
        <v>9116</v>
      </c>
      <c r="B1406" s="1">
        <v>39471</v>
      </c>
      <c r="C1406" s="1"/>
      <c r="E1406" t="b">
        <f>NOT(OR(ISBLANK(tblEmployee[[#This Row],[EndDate]]),tblEmployee[[#This Row],[EndDate]]-tblEmployee[[#This Row],[StartDate]]&gt;90))</f>
        <v>0</v>
      </c>
    </row>
    <row r="1407" spans="1:5" x14ac:dyDescent="0.3">
      <c r="A1407">
        <v>9117</v>
      </c>
      <c r="B1407" s="1">
        <v>40746</v>
      </c>
      <c r="C1407" s="1"/>
      <c r="E1407" t="b">
        <f>NOT(OR(ISBLANK(tblEmployee[[#This Row],[EndDate]]),tblEmployee[[#This Row],[EndDate]]-tblEmployee[[#This Row],[StartDate]]&gt;90))</f>
        <v>0</v>
      </c>
    </row>
    <row r="1408" spans="1:5" x14ac:dyDescent="0.3">
      <c r="A1408">
        <v>9123</v>
      </c>
      <c r="B1408" s="1">
        <v>43374</v>
      </c>
      <c r="C1408" s="1"/>
      <c r="E1408" t="b">
        <f>NOT(OR(ISBLANK(tblEmployee[[#This Row],[EndDate]]),tblEmployee[[#This Row],[EndDate]]-tblEmployee[[#This Row],[StartDate]]&gt;90))</f>
        <v>0</v>
      </c>
    </row>
    <row r="1409" spans="1:5" x14ac:dyDescent="0.3">
      <c r="A1409">
        <v>9127</v>
      </c>
      <c r="B1409" s="1">
        <v>39966</v>
      </c>
      <c r="C1409" s="1"/>
      <c r="E1409" t="b">
        <f>NOT(OR(ISBLANK(tblEmployee[[#This Row],[EndDate]]),tblEmployee[[#This Row],[EndDate]]-tblEmployee[[#This Row],[StartDate]]&gt;90))</f>
        <v>0</v>
      </c>
    </row>
    <row r="1410" spans="1:5" x14ac:dyDescent="0.3">
      <c r="A1410">
        <v>9129</v>
      </c>
      <c r="B1410" s="1">
        <v>38412</v>
      </c>
      <c r="C1410" s="1"/>
      <c r="E1410" t="b">
        <f>NOT(OR(ISBLANK(tblEmployee[[#This Row],[EndDate]]),tblEmployee[[#This Row],[EndDate]]-tblEmployee[[#This Row],[StartDate]]&gt;90))</f>
        <v>0</v>
      </c>
    </row>
    <row r="1411" spans="1:5" x14ac:dyDescent="0.3">
      <c r="A1411">
        <v>9133</v>
      </c>
      <c r="B1411" s="1">
        <v>39185</v>
      </c>
      <c r="C1411" s="1"/>
      <c r="E1411" t="b">
        <f>NOT(OR(ISBLANK(tblEmployee[[#This Row],[EndDate]]),tblEmployee[[#This Row],[EndDate]]-tblEmployee[[#This Row],[StartDate]]&gt;90))</f>
        <v>0</v>
      </c>
    </row>
    <row r="1412" spans="1:5" x14ac:dyDescent="0.3">
      <c r="A1412">
        <v>9134</v>
      </c>
      <c r="B1412" s="1">
        <v>42134</v>
      </c>
      <c r="C1412" s="1"/>
      <c r="E1412" t="b">
        <f>NOT(OR(ISBLANK(tblEmployee[[#This Row],[EndDate]]),tblEmployee[[#This Row],[EndDate]]-tblEmployee[[#This Row],[StartDate]]&gt;90))</f>
        <v>0</v>
      </c>
    </row>
    <row r="1413" spans="1:5" x14ac:dyDescent="0.3">
      <c r="A1413">
        <v>9139</v>
      </c>
      <c r="B1413" s="1">
        <v>42906</v>
      </c>
      <c r="C1413" s="1">
        <v>44077</v>
      </c>
      <c r="D1413" t="s">
        <v>25</v>
      </c>
      <c r="E1413" t="b">
        <f>NOT(OR(ISBLANK(tblEmployee[[#This Row],[EndDate]]),tblEmployee[[#This Row],[EndDate]]-tblEmployee[[#This Row],[StartDate]]&gt;90))</f>
        <v>0</v>
      </c>
    </row>
    <row r="1414" spans="1:5" x14ac:dyDescent="0.3">
      <c r="A1414">
        <v>9146</v>
      </c>
      <c r="B1414" s="1">
        <v>39014</v>
      </c>
      <c r="C1414" s="1">
        <v>42179</v>
      </c>
      <c r="D1414" t="s">
        <v>25</v>
      </c>
      <c r="E1414" t="b">
        <f>NOT(OR(ISBLANK(tblEmployee[[#This Row],[EndDate]]),tblEmployee[[#This Row],[EndDate]]-tblEmployee[[#This Row],[StartDate]]&gt;90))</f>
        <v>0</v>
      </c>
    </row>
    <row r="1415" spans="1:5" x14ac:dyDescent="0.3">
      <c r="A1415">
        <v>9147</v>
      </c>
      <c r="B1415" s="1">
        <v>39095</v>
      </c>
      <c r="C1415" s="1"/>
      <c r="E1415" t="b">
        <f>NOT(OR(ISBLANK(tblEmployee[[#This Row],[EndDate]]),tblEmployee[[#This Row],[EndDate]]-tblEmployee[[#This Row],[StartDate]]&gt;90))</f>
        <v>0</v>
      </c>
    </row>
    <row r="1416" spans="1:5" x14ac:dyDescent="0.3">
      <c r="A1416">
        <v>9151</v>
      </c>
      <c r="B1416" s="1">
        <v>41021</v>
      </c>
      <c r="C1416" s="1"/>
      <c r="E1416" t="b">
        <f>NOT(OR(ISBLANK(tblEmployee[[#This Row],[EndDate]]),tblEmployee[[#This Row],[EndDate]]-tblEmployee[[#This Row],[StartDate]]&gt;90))</f>
        <v>0</v>
      </c>
    </row>
    <row r="1417" spans="1:5" x14ac:dyDescent="0.3">
      <c r="A1417">
        <v>9159</v>
      </c>
      <c r="B1417" s="1">
        <v>41580</v>
      </c>
      <c r="C1417" s="1">
        <v>42096</v>
      </c>
      <c r="D1417" t="s">
        <v>28</v>
      </c>
      <c r="E1417" t="b">
        <f>NOT(OR(ISBLANK(tblEmployee[[#This Row],[EndDate]]),tblEmployee[[#This Row],[EndDate]]-tblEmployee[[#This Row],[StartDate]]&gt;90))</f>
        <v>0</v>
      </c>
    </row>
    <row r="1418" spans="1:5" x14ac:dyDescent="0.3">
      <c r="A1418">
        <v>9178</v>
      </c>
      <c r="B1418" s="1">
        <v>43581</v>
      </c>
      <c r="C1418" s="1"/>
      <c r="E1418" t="b">
        <f>NOT(OR(ISBLANK(tblEmployee[[#This Row],[EndDate]]),tblEmployee[[#This Row],[EndDate]]-tblEmployee[[#This Row],[StartDate]]&gt;90))</f>
        <v>0</v>
      </c>
    </row>
    <row r="1419" spans="1:5" x14ac:dyDescent="0.3">
      <c r="A1419">
        <v>9179</v>
      </c>
      <c r="B1419" s="1">
        <v>41072</v>
      </c>
      <c r="C1419" s="1"/>
      <c r="E1419" t="b">
        <f>NOT(OR(ISBLANK(tblEmployee[[#This Row],[EndDate]]),tblEmployee[[#This Row],[EndDate]]-tblEmployee[[#This Row],[StartDate]]&gt;90))</f>
        <v>0</v>
      </c>
    </row>
    <row r="1420" spans="1:5" x14ac:dyDescent="0.3">
      <c r="A1420">
        <v>9180</v>
      </c>
      <c r="B1420" s="1">
        <v>38307</v>
      </c>
      <c r="C1420" s="1">
        <v>39724</v>
      </c>
      <c r="D1420" t="s">
        <v>28</v>
      </c>
      <c r="E1420" t="b">
        <f>NOT(OR(ISBLANK(tblEmployee[[#This Row],[EndDate]]),tblEmployee[[#This Row],[EndDate]]-tblEmployee[[#This Row],[StartDate]]&gt;90))</f>
        <v>0</v>
      </c>
    </row>
    <row r="1421" spans="1:5" x14ac:dyDescent="0.3">
      <c r="A1421">
        <v>9182</v>
      </c>
      <c r="B1421" s="1">
        <v>42440</v>
      </c>
      <c r="C1421" s="1"/>
      <c r="E1421" t="b">
        <f>NOT(OR(ISBLANK(tblEmployee[[#This Row],[EndDate]]),tblEmployee[[#This Row],[EndDate]]-tblEmployee[[#This Row],[StartDate]]&gt;90))</f>
        <v>0</v>
      </c>
    </row>
    <row r="1422" spans="1:5" x14ac:dyDescent="0.3">
      <c r="A1422">
        <v>9183</v>
      </c>
      <c r="B1422" s="1">
        <v>39651</v>
      </c>
      <c r="C1422" s="1"/>
      <c r="E1422" t="b">
        <f>NOT(OR(ISBLANK(tblEmployee[[#This Row],[EndDate]]),tblEmployee[[#This Row],[EndDate]]-tblEmployee[[#This Row],[StartDate]]&gt;90))</f>
        <v>0</v>
      </c>
    </row>
    <row r="1423" spans="1:5" x14ac:dyDescent="0.3">
      <c r="A1423">
        <v>9202</v>
      </c>
      <c r="B1423" s="1">
        <v>39087</v>
      </c>
      <c r="C1423" s="1"/>
      <c r="E1423" t="b">
        <f>NOT(OR(ISBLANK(tblEmployee[[#This Row],[EndDate]]),tblEmployee[[#This Row],[EndDate]]-tblEmployee[[#This Row],[StartDate]]&gt;90))</f>
        <v>0</v>
      </c>
    </row>
    <row r="1424" spans="1:5" x14ac:dyDescent="0.3">
      <c r="A1424">
        <v>9212</v>
      </c>
      <c r="B1424" s="1">
        <v>37446</v>
      </c>
      <c r="C1424" s="1"/>
      <c r="E1424" t="b">
        <f>NOT(OR(ISBLANK(tblEmployee[[#This Row],[EndDate]]),tblEmployee[[#This Row],[EndDate]]-tblEmployee[[#This Row],[StartDate]]&gt;90))</f>
        <v>0</v>
      </c>
    </row>
    <row r="1425" spans="1:5" x14ac:dyDescent="0.3">
      <c r="A1425">
        <v>9216</v>
      </c>
      <c r="B1425" s="1">
        <v>44192</v>
      </c>
      <c r="C1425" s="1"/>
      <c r="E1425" t="b">
        <f>NOT(OR(ISBLANK(tblEmployee[[#This Row],[EndDate]]),tblEmployee[[#This Row],[EndDate]]-tblEmployee[[#This Row],[StartDate]]&gt;90))</f>
        <v>0</v>
      </c>
    </row>
    <row r="1426" spans="1:5" x14ac:dyDescent="0.3">
      <c r="A1426">
        <v>9223</v>
      </c>
      <c r="B1426" s="1">
        <v>42938</v>
      </c>
      <c r="C1426" s="1"/>
      <c r="E1426" t="b">
        <f>NOT(OR(ISBLANK(tblEmployee[[#This Row],[EndDate]]),tblEmployee[[#This Row],[EndDate]]-tblEmployee[[#This Row],[StartDate]]&gt;90))</f>
        <v>0</v>
      </c>
    </row>
    <row r="1427" spans="1:5" x14ac:dyDescent="0.3">
      <c r="A1427">
        <v>9226</v>
      </c>
      <c r="B1427" s="1">
        <v>38145</v>
      </c>
      <c r="C1427" s="1"/>
      <c r="E1427" t="b">
        <f>NOT(OR(ISBLANK(tblEmployee[[#This Row],[EndDate]]),tblEmployee[[#This Row],[EndDate]]-tblEmployee[[#This Row],[StartDate]]&gt;90))</f>
        <v>0</v>
      </c>
    </row>
    <row r="1428" spans="1:5" x14ac:dyDescent="0.3">
      <c r="A1428">
        <v>9245</v>
      </c>
      <c r="B1428" s="1">
        <v>42154</v>
      </c>
      <c r="C1428" s="1">
        <v>42884</v>
      </c>
      <c r="D1428" t="s">
        <v>56</v>
      </c>
      <c r="E1428" t="b">
        <f>NOT(OR(ISBLANK(tblEmployee[[#This Row],[EndDate]]),tblEmployee[[#This Row],[EndDate]]-tblEmployee[[#This Row],[StartDate]]&gt;90))</f>
        <v>0</v>
      </c>
    </row>
    <row r="1429" spans="1:5" x14ac:dyDescent="0.3">
      <c r="A1429">
        <v>9265</v>
      </c>
      <c r="B1429" s="1">
        <v>37270</v>
      </c>
      <c r="C1429" s="1"/>
      <c r="E1429" t="b">
        <f>NOT(OR(ISBLANK(tblEmployee[[#This Row],[EndDate]]),tblEmployee[[#This Row],[EndDate]]-tblEmployee[[#This Row],[StartDate]]&gt;90))</f>
        <v>0</v>
      </c>
    </row>
    <row r="1430" spans="1:5" x14ac:dyDescent="0.3">
      <c r="A1430">
        <v>9274</v>
      </c>
      <c r="B1430" s="1">
        <v>37792</v>
      </c>
      <c r="C1430" s="1"/>
      <c r="E1430" t="b">
        <f>NOT(OR(ISBLANK(tblEmployee[[#This Row],[EndDate]]),tblEmployee[[#This Row],[EndDate]]-tblEmployee[[#This Row],[StartDate]]&gt;90))</f>
        <v>0</v>
      </c>
    </row>
    <row r="1431" spans="1:5" x14ac:dyDescent="0.3">
      <c r="A1431">
        <v>9294</v>
      </c>
      <c r="B1431" s="1">
        <v>39928</v>
      </c>
      <c r="C1431" s="1"/>
      <c r="E1431" t="b">
        <f>NOT(OR(ISBLANK(tblEmployee[[#This Row],[EndDate]]),tblEmployee[[#This Row],[EndDate]]-tblEmployee[[#This Row],[StartDate]]&gt;90))</f>
        <v>0</v>
      </c>
    </row>
    <row r="1432" spans="1:5" x14ac:dyDescent="0.3">
      <c r="A1432">
        <v>9306</v>
      </c>
      <c r="B1432" s="1">
        <v>41480</v>
      </c>
      <c r="C1432" s="1"/>
      <c r="E1432" t="b">
        <f>NOT(OR(ISBLANK(tblEmployee[[#This Row],[EndDate]]),tblEmployee[[#This Row],[EndDate]]-tblEmployee[[#This Row],[StartDate]]&gt;90))</f>
        <v>0</v>
      </c>
    </row>
    <row r="1433" spans="1:5" x14ac:dyDescent="0.3">
      <c r="A1433">
        <v>9307</v>
      </c>
      <c r="B1433" s="1">
        <v>43240</v>
      </c>
      <c r="C1433" s="1"/>
      <c r="E1433" t="b">
        <f>NOT(OR(ISBLANK(tblEmployee[[#This Row],[EndDate]]),tblEmployee[[#This Row],[EndDate]]-tblEmployee[[#This Row],[StartDate]]&gt;90))</f>
        <v>0</v>
      </c>
    </row>
    <row r="1434" spans="1:5" x14ac:dyDescent="0.3">
      <c r="A1434">
        <v>9311</v>
      </c>
      <c r="B1434" s="1">
        <v>38495</v>
      </c>
      <c r="C1434" s="1"/>
      <c r="E1434" t="b">
        <f>NOT(OR(ISBLANK(tblEmployee[[#This Row],[EndDate]]),tblEmployee[[#This Row],[EndDate]]-tblEmployee[[#This Row],[StartDate]]&gt;90))</f>
        <v>0</v>
      </c>
    </row>
    <row r="1435" spans="1:5" x14ac:dyDescent="0.3">
      <c r="A1435">
        <v>9315</v>
      </c>
      <c r="B1435" s="1">
        <v>43054</v>
      </c>
      <c r="C1435" s="1"/>
      <c r="E1435" t="b">
        <f>NOT(OR(ISBLANK(tblEmployee[[#This Row],[EndDate]]),tblEmployee[[#This Row],[EndDate]]-tblEmployee[[#This Row],[StartDate]]&gt;90))</f>
        <v>0</v>
      </c>
    </row>
    <row r="1436" spans="1:5" x14ac:dyDescent="0.3">
      <c r="A1436">
        <v>9319</v>
      </c>
      <c r="B1436" s="1">
        <v>42938</v>
      </c>
      <c r="C1436" s="1"/>
      <c r="E1436" t="b">
        <f>NOT(OR(ISBLANK(tblEmployee[[#This Row],[EndDate]]),tblEmployee[[#This Row],[EndDate]]-tblEmployee[[#This Row],[StartDate]]&gt;90))</f>
        <v>0</v>
      </c>
    </row>
    <row r="1437" spans="1:5" x14ac:dyDescent="0.3">
      <c r="A1437">
        <v>9329</v>
      </c>
      <c r="B1437" s="1">
        <v>41865</v>
      </c>
      <c r="C1437" s="1"/>
      <c r="E1437" t="b">
        <f>NOT(OR(ISBLANK(tblEmployee[[#This Row],[EndDate]]),tblEmployee[[#This Row],[EndDate]]-tblEmployee[[#This Row],[StartDate]]&gt;90))</f>
        <v>0</v>
      </c>
    </row>
    <row r="1438" spans="1:5" x14ac:dyDescent="0.3">
      <c r="A1438">
        <v>9336</v>
      </c>
      <c r="B1438" s="1">
        <v>43437</v>
      </c>
      <c r="C1438" s="1">
        <v>44415</v>
      </c>
      <c r="D1438" t="s">
        <v>56</v>
      </c>
      <c r="E1438" t="b">
        <f>NOT(OR(ISBLANK(tblEmployee[[#This Row],[EndDate]]),tblEmployee[[#This Row],[EndDate]]-tblEmployee[[#This Row],[StartDate]]&gt;90))</f>
        <v>0</v>
      </c>
    </row>
    <row r="1439" spans="1:5" x14ac:dyDescent="0.3">
      <c r="A1439">
        <v>9339</v>
      </c>
      <c r="B1439" s="1">
        <v>41192</v>
      </c>
      <c r="C1439" s="1">
        <v>43934</v>
      </c>
      <c r="D1439" t="s">
        <v>56</v>
      </c>
      <c r="E1439" t="b">
        <f>NOT(OR(ISBLANK(tblEmployee[[#This Row],[EndDate]]),tblEmployee[[#This Row],[EndDate]]-tblEmployee[[#This Row],[StartDate]]&gt;90))</f>
        <v>0</v>
      </c>
    </row>
    <row r="1440" spans="1:5" x14ac:dyDescent="0.3">
      <c r="A1440">
        <v>9343</v>
      </c>
      <c r="B1440" s="1">
        <v>43120</v>
      </c>
      <c r="C1440" s="1">
        <v>43358</v>
      </c>
      <c r="D1440" t="s">
        <v>25</v>
      </c>
      <c r="E1440" t="b">
        <f>NOT(OR(ISBLANK(tblEmployee[[#This Row],[EndDate]]),tblEmployee[[#This Row],[EndDate]]-tblEmployee[[#This Row],[StartDate]]&gt;90))</f>
        <v>0</v>
      </c>
    </row>
    <row r="1441" spans="1:5" x14ac:dyDescent="0.3">
      <c r="A1441">
        <v>9348</v>
      </c>
      <c r="B1441" s="1">
        <v>40064</v>
      </c>
      <c r="C1441" s="1"/>
      <c r="E1441" t="b">
        <f>NOT(OR(ISBLANK(tblEmployee[[#This Row],[EndDate]]),tblEmployee[[#This Row],[EndDate]]-tblEmployee[[#This Row],[StartDate]]&gt;90))</f>
        <v>0</v>
      </c>
    </row>
    <row r="1442" spans="1:5" x14ac:dyDescent="0.3">
      <c r="A1442">
        <v>9350</v>
      </c>
      <c r="B1442" s="1">
        <v>38462</v>
      </c>
      <c r="C1442" s="1"/>
      <c r="E1442" t="b">
        <f>NOT(OR(ISBLANK(tblEmployee[[#This Row],[EndDate]]),tblEmployee[[#This Row],[EndDate]]-tblEmployee[[#This Row],[StartDate]]&gt;90))</f>
        <v>0</v>
      </c>
    </row>
    <row r="1443" spans="1:5" x14ac:dyDescent="0.3">
      <c r="A1443">
        <v>9359</v>
      </c>
      <c r="B1443" s="1">
        <v>39632</v>
      </c>
      <c r="C1443" s="1"/>
      <c r="E1443" t="b">
        <f>NOT(OR(ISBLANK(tblEmployee[[#This Row],[EndDate]]),tblEmployee[[#This Row],[EndDate]]-tblEmployee[[#This Row],[StartDate]]&gt;90))</f>
        <v>0</v>
      </c>
    </row>
    <row r="1444" spans="1:5" x14ac:dyDescent="0.3">
      <c r="A1444">
        <v>9362</v>
      </c>
      <c r="B1444" s="1">
        <v>38537</v>
      </c>
      <c r="C1444" s="1"/>
      <c r="E1444" t="b">
        <f>NOT(OR(ISBLANK(tblEmployee[[#This Row],[EndDate]]),tblEmployee[[#This Row],[EndDate]]-tblEmployee[[#This Row],[StartDate]]&gt;90))</f>
        <v>0</v>
      </c>
    </row>
    <row r="1445" spans="1:5" x14ac:dyDescent="0.3">
      <c r="A1445">
        <v>9368</v>
      </c>
      <c r="B1445" s="1">
        <v>44107</v>
      </c>
      <c r="C1445" s="1"/>
      <c r="E1445" t="b">
        <f>NOT(OR(ISBLANK(tblEmployee[[#This Row],[EndDate]]),tblEmployee[[#This Row],[EndDate]]-tblEmployee[[#This Row],[StartDate]]&gt;90))</f>
        <v>0</v>
      </c>
    </row>
    <row r="1446" spans="1:5" x14ac:dyDescent="0.3">
      <c r="A1446">
        <v>9380</v>
      </c>
      <c r="B1446" s="1">
        <v>43298</v>
      </c>
      <c r="C1446" s="1"/>
      <c r="E1446" t="b">
        <f>NOT(OR(ISBLANK(tblEmployee[[#This Row],[EndDate]]),tblEmployee[[#This Row],[EndDate]]-tblEmployee[[#This Row],[StartDate]]&gt;90))</f>
        <v>0</v>
      </c>
    </row>
    <row r="1447" spans="1:5" x14ac:dyDescent="0.3">
      <c r="A1447">
        <v>9382</v>
      </c>
      <c r="B1447" s="1">
        <v>39250</v>
      </c>
      <c r="C1447" s="1"/>
      <c r="E1447" t="b">
        <f>NOT(OR(ISBLANK(tblEmployee[[#This Row],[EndDate]]),tblEmployee[[#This Row],[EndDate]]-tblEmployee[[#This Row],[StartDate]]&gt;90))</f>
        <v>0</v>
      </c>
    </row>
    <row r="1448" spans="1:5" x14ac:dyDescent="0.3">
      <c r="A1448">
        <v>9384</v>
      </c>
      <c r="B1448" s="1">
        <v>42856</v>
      </c>
      <c r="C1448" s="1"/>
      <c r="E1448" t="b">
        <f>NOT(OR(ISBLANK(tblEmployee[[#This Row],[EndDate]]),tblEmployee[[#This Row],[EndDate]]-tblEmployee[[#This Row],[StartDate]]&gt;90))</f>
        <v>0</v>
      </c>
    </row>
    <row r="1449" spans="1:5" x14ac:dyDescent="0.3">
      <c r="A1449">
        <v>9397</v>
      </c>
      <c r="B1449" s="1">
        <v>37856</v>
      </c>
      <c r="C1449" s="1"/>
      <c r="E1449" t="b">
        <f>NOT(OR(ISBLANK(tblEmployee[[#This Row],[EndDate]]),tblEmployee[[#This Row],[EndDate]]-tblEmployee[[#This Row],[StartDate]]&gt;90))</f>
        <v>0</v>
      </c>
    </row>
    <row r="1450" spans="1:5" x14ac:dyDescent="0.3">
      <c r="A1450">
        <v>9403</v>
      </c>
      <c r="B1450" s="1">
        <v>39418</v>
      </c>
      <c r="C1450" s="1">
        <v>41264</v>
      </c>
      <c r="D1450" t="s">
        <v>31</v>
      </c>
      <c r="E1450" t="b">
        <f>NOT(OR(ISBLANK(tblEmployee[[#This Row],[EndDate]]),tblEmployee[[#This Row],[EndDate]]-tblEmployee[[#This Row],[StartDate]]&gt;90))</f>
        <v>0</v>
      </c>
    </row>
    <row r="1451" spans="1:5" x14ac:dyDescent="0.3">
      <c r="A1451">
        <v>9408</v>
      </c>
      <c r="B1451" s="1">
        <v>39687</v>
      </c>
      <c r="C1451" s="1"/>
      <c r="E1451" t="b">
        <f>NOT(OR(ISBLANK(tblEmployee[[#This Row],[EndDate]]),tblEmployee[[#This Row],[EndDate]]-tblEmployee[[#This Row],[StartDate]]&gt;90))</f>
        <v>0</v>
      </c>
    </row>
    <row r="1452" spans="1:5" x14ac:dyDescent="0.3">
      <c r="A1452">
        <v>9414</v>
      </c>
      <c r="B1452" s="1">
        <v>37282</v>
      </c>
      <c r="C1452" s="1"/>
      <c r="E1452" t="b">
        <f>NOT(OR(ISBLANK(tblEmployee[[#This Row],[EndDate]]),tblEmployee[[#This Row],[EndDate]]-tblEmployee[[#This Row],[StartDate]]&gt;90))</f>
        <v>0</v>
      </c>
    </row>
    <row r="1453" spans="1:5" x14ac:dyDescent="0.3">
      <c r="A1453">
        <v>9420</v>
      </c>
      <c r="B1453" s="1">
        <v>42375</v>
      </c>
      <c r="C1453" s="1"/>
      <c r="E1453" t="b">
        <f>NOT(OR(ISBLANK(tblEmployee[[#This Row],[EndDate]]),tblEmployee[[#This Row],[EndDate]]-tblEmployee[[#This Row],[StartDate]]&gt;90))</f>
        <v>0</v>
      </c>
    </row>
    <row r="1454" spans="1:5" x14ac:dyDescent="0.3">
      <c r="A1454">
        <v>9429</v>
      </c>
      <c r="B1454" s="1">
        <v>39826</v>
      </c>
      <c r="C1454" s="1">
        <v>40129</v>
      </c>
      <c r="D1454" t="s">
        <v>25</v>
      </c>
      <c r="E1454" t="b">
        <f>NOT(OR(ISBLANK(tblEmployee[[#This Row],[EndDate]]),tblEmployee[[#This Row],[EndDate]]-tblEmployee[[#This Row],[StartDate]]&gt;90))</f>
        <v>0</v>
      </c>
    </row>
    <row r="1455" spans="1:5" x14ac:dyDescent="0.3">
      <c r="A1455">
        <v>9442</v>
      </c>
      <c r="B1455" s="1">
        <v>39548</v>
      </c>
      <c r="C1455" s="1">
        <v>41718</v>
      </c>
      <c r="D1455" t="s">
        <v>26</v>
      </c>
      <c r="E1455" t="b">
        <f>NOT(OR(ISBLANK(tblEmployee[[#This Row],[EndDate]]),tblEmployee[[#This Row],[EndDate]]-tblEmployee[[#This Row],[StartDate]]&gt;90))</f>
        <v>0</v>
      </c>
    </row>
    <row r="1456" spans="1:5" x14ac:dyDescent="0.3">
      <c r="A1456">
        <v>9446</v>
      </c>
      <c r="B1456" s="1">
        <v>40232</v>
      </c>
      <c r="C1456" s="1">
        <v>41862</v>
      </c>
      <c r="D1456" t="s">
        <v>31</v>
      </c>
      <c r="E1456" t="b">
        <f>NOT(OR(ISBLANK(tblEmployee[[#This Row],[EndDate]]),tblEmployee[[#This Row],[EndDate]]-tblEmployee[[#This Row],[StartDate]]&gt;90))</f>
        <v>0</v>
      </c>
    </row>
    <row r="1457" spans="1:5" x14ac:dyDescent="0.3">
      <c r="A1457">
        <v>9459</v>
      </c>
      <c r="B1457" s="1">
        <v>41393</v>
      </c>
      <c r="C1457" s="1">
        <v>44521</v>
      </c>
      <c r="D1457" t="s">
        <v>56</v>
      </c>
      <c r="E1457" t="b">
        <f>NOT(OR(ISBLANK(tblEmployee[[#This Row],[EndDate]]),tblEmployee[[#This Row],[EndDate]]-tblEmployee[[#This Row],[StartDate]]&gt;90))</f>
        <v>0</v>
      </c>
    </row>
    <row r="1458" spans="1:5" x14ac:dyDescent="0.3">
      <c r="A1458">
        <v>9480</v>
      </c>
      <c r="B1458" s="1">
        <v>39104</v>
      </c>
      <c r="C1458" s="1"/>
      <c r="E1458" t="b">
        <f>NOT(OR(ISBLANK(tblEmployee[[#This Row],[EndDate]]),tblEmployee[[#This Row],[EndDate]]-tblEmployee[[#This Row],[StartDate]]&gt;90))</f>
        <v>0</v>
      </c>
    </row>
    <row r="1459" spans="1:5" x14ac:dyDescent="0.3">
      <c r="A1459">
        <v>9486</v>
      </c>
      <c r="B1459" s="1">
        <v>41201</v>
      </c>
      <c r="C1459" s="1"/>
      <c r="E1459" t="b">
        <f>NOT(OR(ISBLANK(tblEmployee[[#This Row],[EndDate]]),tblEmployee[[#This Row],[EndDate]]-tblEmployee[[#This Row],[StartDate]]&gt;90))</f>
        <v>0</v>
      </c>
    </row>
    <row r="1460" spans="1:5" x14ac:dyDescent="0.3">
      <c r="A1460">
        <v>9487</v>
      </c>
      <c r="B1460" s="1">
        <v>37833</v>
      </c>
      <c r="C1460" s="1"/>
      <c r="E1460" t="b">
        <f>NOT(OR(ISBLANK(tblEmployee[[#This Row],[EndDate]]),tblEmployee[[#This Row],[EndDate]]-tblEmployee[[#This Row],[StartDate]]&gt;90))</f>
        <v>0</v>
      </c>
    </row>
    <row r="1461" spans="1:5" x14ac:dyDescent="0.3">
      <c r="A1461">
        <v>9492</v>
      </c>
      <c r="B1461" s="1">
        <v>41174</v>
      </c>
      <c r="C1461" s="1"/>
      <c r="E1461" t="b">
        <f>NOT(OR(ISBLANK(tblEmployee[[#This Row],[EndDate]]),tblEmployee[[#This Row],[EndDate]]-tblEmployee[[#This Row],[StartDate]]&gt;90))</f>
        <v>0</v>
      </c>
    </row>
    <row r="1462" spans="1:5" x14ac:dyDescent="0.3">
      <c r="A1462">
        <v>9494</v>
      </c>
      <c r="B1462" s="1">
        <v>37529</v>
      </c>
      <c r="C1462" s="1"/>
      <c r="E1462" t="b">
        <f>NOT(OR(ISBLANK(tblEmployee[[#This Row],[EndDate]]),tblEmployee[[#This Row],[EndDate]]-tblEmployee[[#This Row],[StartDate]]&gt;90))</f>
        <v>0</v>
      </c>
    </row>
    <row r="1463" spans="1:5" x14ac:dyDescent="0.3">
      <c r="A1463">
        <v>9498</v>
      </c>
      <c r="B1463" s="1">
        <v>42253</v>
      </c>
      <c r="C1463" s="1"/>
      <c r="E1463" t="b">
        <f>NOT(OR(ISBLANK(tblEmployee[[#This Row],[EndDate]]),tblEmployee[[#This Row],[EndDate]]-tblEmployee[[#This Row],[StartDate]]&gt;90))</f>
        <v>0</v>
      </c>
    </row>
    <row r="1464" spans="1:5" x14ac:dyDescent="0.3">
      <c r="A1464">
        <v>9503</v>
      </c>
      <c r="B1464" s="1">
        <v>39972</v>
      </c>
      <c r="C1464" s="1"/>
      <c r="E1464" t="b">
        <f>NOT(OR(ISBLANK(tblEmployee[[#This Row],[EndDate]]),tblEmployee[[#This Row],[EndDate]]-tblEmployee[[#This Row],[StartDate]]&gt;90))</f>
        <v>0</v>
      </c>
    </row>
    <row r="1465" spans="1:5" x14ac:dyDescent="0.3">
      <c r="A1465">
        <v>9504</v>
      </c>
      <c r="B1465" s="1">
        <v>41198</v>
      </c>
      <c r="C1465" s="1"/>
      <c r="E1465" t="b">
        <f>NOT(OR(ISBLANK(tblEmployee[[#This Row],[EndDate]]),tblEmployee[[#This Row],[EndDate]]-tblEmployee[[#This Row],[StartDate]]&gt;90))</f>
        <v>0</v>
      </c>
    </row>
    <row r="1466" spans="1:5" x14ac:dyDescent="0.3">
      <c r="A1466">
        <v>9505</v>
      </c>
      <c r="B1466" s="1">
        <v>39755</v>
      </c>
      <c r="C1466" s="1"/>
      <c r="E1466" t="b">
        <f>NOT(OR(ISBLANK(tblEmployee[[#This Row],[EndDate]]),tblEmployee[[#This Row],[EndDate]]-tblEmployee[[#This Row],[StartDate]]&gt;90))</f>
        <v>0</v>
      </c>
    </row>
    <row r="1467" spans="1:5" x14ac:dyDescent="0.3">
      <c r="A1467">
        <v>9507</v>
      </c>
      <c r="B1467" s="1">
        <v>40834</v>
      </c>
      <c r="C1467" s="1"/>
      <c r="E1467" t="b">
        <f>NOT(OR(ISBLANK(tblEmployee[[#This Row],[EndDate]]),tblEmployee[[#This Row],[EndDate]]-tblEmployee[[#This Row],[StartDate]]&gt;90))</f>
        <v>0</v>
      </c>
    </row>
    <row r="1468" spans="1:5" x14ac:dyDescent="0.3">
      <c r="A1468">
        <v>9541</v>
      </c>
      <c r="B1468" s="1">
        <v>39843</v>
      </c>
      <c r="C1468" s="1"/>
      <c r="E1468" t="b">
        <f>NOT(OR(ISBLANK(tblEmployee[[#This Row],[EndDate]]),tblEmployee[[#This Row],[EndDate]]-tblEmployee[[#This Row],[StartDate]]&gt;90))</f>
        <v>0</v>
      </c>
    </row>
    <row r="1469" spans="1:5" x14ac:dyDescent="0.3">
      <c r="A1469">
        <v>9549</v>
      </c>
      <c r="B1469" s="1">
        <v>40743</v>
      </c>
      <c r="C1469" s="1">
        <v>43610</v>
      </c>
      <c r="D1469" t="s">
        <v>25</v>
      </c>
      <c r="E1469" t="b">
        <f>NOT(OR(ISBLANK(tblEmployee[[#This Row],[EndDate]]),tblEmployee[[#This Row],[EndDate]]-tblEmployee[[#This Row],[StartDate]]&gt;90))</f>
        <v>0</v>
      </c>
    </row>
    <row r="1470" spans="1:5" x14ac:dyDescent="0.3">
      <c r="A1470">
        <v>9552</v>
      </c>
      <c r="B1470" s="1">
        <v>42597</v>
      </c>
      <c r="C1470" s="1"/>
      <c r="E1470" t="b">
        <f>NOT(OR(ISBLANK(tblEmployee[[#This Row],[EndDate]]),tblEmployee[[#This Row],[EndDate]]-tblEmployee[[#This Row],[StartDate]]&gt;90))</f>
        <v>0</v>
      </c>
    </row>
    <row r="1471" spans="1:5" x14ac:dyDescent="0.3">
      <c r="A1471">
        <v>9553</v>
      </c>
      <c r="B1471" s="1">
        <v>40242</v>
      </c>
      <c r="C1471" s="1"/>
      <c r="E1471" t="b">
        <f>NOT(OR(ISBLANK(tblEmployee[[#This Row],[EndDate]]),tblEmployee[[#This Row],[EndDate]]-tblEmployee[[#This Row],[StartDate]]&gt;90))</f>
        <v>0</v>
      </c>
    </row>
    <row r="1472" spans="1:5" x14ac:dyDescent="0.3">
      <c r="A1472">
        <v>9561</v>
      </c>
      <c r="B1472" s="1">
        <v>41700</v>
      </c>
      <c r="C1472" s="1"/>
      <c r="E1472" t="b">
        <f>NOT(OR(ISBLANK(tblEmployee[[#This Row],[EndDate]]),tblEmployee[[#This Row],[EndDate]]-tblEmployee[[#This Row],[StartDate]]&gt;90))</f>
        <v>0</v>
      </c>
    </row>
    <row r="1473" spans="1:5" x14ac:dyDescent="0.3">
      <c r="A1473">
        <v>9566</v>
      </c>
      <c r="B1473" s="1">
        <v>41882</v>
      </c>
      <c r="C1473" s="1"/>
      <c r="E1473" t="b">
        <f>NOT(OR(ISBLANK(tblEmployee[[#This Row],[EndDate]]),tblEmployee[[#This Row],[EndDate]]-tblEmployee[[#This Row],[StartDate]]&gt;90))</f>
        <v>0</v>
      </c>
    </row>
    <row r="1474" spans="1:5" x14ac:dyDescent="0.3">
      <c r="A1474">
        <v>9569</v>
      </c>
      <c r="B1474" s="1">
        <v>42039</v>
      </c>
      <c r="C1474" s="1"/>
      <c r="E1474" t="b">
        <f>NOT(OR(ISBLANK(tblEmployee[[#This Row],[EndDate]]),tblEmployee[[#This Row],[EndDate]]-tblEmployee[[#This Row],[StartDate]]&gt;90))</f>
        <v>0</v>
      </c>
    </row>
    <row r="1475" spans="1:5" x14ac:dyDescent="0.3">
      <c r="A1475">
        <v>9572</v>
      </c>
      <c r="B1475" s="1">
        <v>40985</v>
      </c>
      <c r="C1475" s="1"/>
      <c r="E1475" t="b">
        <f>NOT(OR(ISBLANK(tblEmployee[[#This Row],[EndDate]]),tblEmployee[[#This Row],[EndDate]]-tblEmployee[[#This Row],[StartDate]]&gt;90))</f>
        <v>0</v>
      </c>
    </row>
    <row r="1476" spans="1:5" x14ac:dyDescent="0.3">
      <c r="A1476">
        <v>9578</v>
      </c>
      <c r="B1476" s="1">
        <v>39780</v>
      </c>
      <c r="C1476" s="1">
        <v>40569</v>
      </c>
      <c r="D1476" t="s">
        <v>31</v>
      </c>
      <c r="E1476" t="b">
        <f>NOT(OR(ISBLANK(tblEmployee[[#This Row],[EndDate]]),tblEmployee[[#This Row],[EndDate]]-tblEmployee[[#This Row],[StartDate]]&gt;90))</f>
        <v>0</v>
      </c>
    </row>
    <row r="1477" spans="1:5" x14ac:dyDescent="0.3">
      <c r="A1477">
        <v>9582</v>
      </c>
      <c r="B1477" s="1">
        <v>38283</v>
      </c>
      <c r="C1477" s="1"/>
      <c r="E1477" t="b">
        <f>NOT(OR(ISBLANK(tblEmployee[[#This Row],[EndDate]]),tblEmployee[[#This Row],[EndDate]]-tblEmployee[[#This Row],[StartDate]]&gt;90))</f>
        <v>0</v>
      </c>
    </row>
    <row r="1478" spans="1:5" x14ac:dyDescent="0.3">
      <c r="A1478">
        <v>9587</v>
      </c>
      <c r="B1478" s="1">
        <v>39799</v>
      </c>
      <c r="C1478" s="1"/>
      <c r="E1478" t="b">
        <f>NOT(OR(ISBLANK(tblEmployee[[#This Row],[EndDate]]),tblEmployee[[#This Row],[EndDate]]-tblEmployee[[#This Row],[StartDate]]&gt;90))</f>
        <v>0</v>
      </c>
    </row>
    <row r="1479" spans="1:5" x14ac:dyDescent="0.3">
      <c r="A1479">
        <v>9602</v>
      </c>
      <c r="B1479" s="1">
        <v>41455</v>
      </c>
      <c r="C1479" s="1">
        <v>42289</v>
      </c>
      <c r="D1479" t="s">
        <v>56</v>
      </c>
      <c r="E1479" t="b">
        <f>NOT(OR(ISBLANK(tblEmployee[[#This Row],[EndDate]]),tblEmployee[[#This Row],[EndDate]]-tblEmployee[[#This Row],[StartDate]]&gt;90))</f>
        <v>0</v>
      </c>
    </row>
    <row r="1480" spans="1:5" x14ac:dyDescent="0.3">
      <c r="A1480">
        <v>9606</v>
      </c>
      <c r="B1480" s="1">
        <v>42991</v>
      </c>
      <c r="C1480" s="1">
        <v>44518</v>
      </c>
      <c r="D1480" t="s">
        <v>25</v>
      </c>
      <c r="E1480" t="b">
        <f>NOT(OR(ISBLANK(tblEmployee[[#This Row],[EndDate]]),tblEmployee[[#This Row],[EndDate]]-tblEmployee[[#This Row],[StartDate]]&gt;90))</f>
        <v>0</v>
      </c>
    </row>
    <row r="1481" spans="1:5" x14ac:dyDescent="0.3">
      <c r="A1481">
        <v>9610</v>
      </c>
      <c r="B1481" s="1">
        <v>42306</v>
      </c>
      <c r="C1481" s="1"/>
      <c r="E1481" t="b">
        <f>NOT(OR(ISBLANK(tblEmployee[[#This Row],[EndDate]]),tblEmployee[[#This Row],[EndDate]]-tblEmployee[[#This Row],[StartDate]]&gt;90))</f>
        <v>0</v>
      </c>
    </row>
    <row r="1482" spans="1:5" x14ac:dyDescent="0.3">
      <c r="A1482">
        <v>9612</v>
      </c>
      <c r="B1482" s="1">
        <v>37835</v>
      </c>
      <c r="C1482" s="1">
        <v>38824</v>
      </c>
      <c r="D1482" t="s">
        <v>56</v>
      </c>
      <c r="E1482" t="b">
        <f>NOT(OR(ISBLANK(tblEmployee[[#This Row],[EndDate]]),tblEmployee[[#This Row],[EndDate]]-tblEmployee[[#This Row],[StartDate]]&gt;90))</f>
        <v>0</v>
      </c>
    </row>
    <row r="1483" spans="1:5" x14ac:dyDescent="0.3">
      <c r="A1483">
        <v>9614</v>
      </c>
      <c r="B1483" s="1">
        <v>40056</v>
      </c>
      <c r="C1483" s="1"/>
      <c r="E1483" t="b">
        <f>NOT(OR(ISBLANK(tblEmployee[[#This Row],[EndDate]]),tblEmployee[[#This Row],[EndDate]]-tblEmployee[[#This Row],[StartDate]]&gt;90))</f>
        <v>0</v>
      </c>
    </row>
    <row r="1484" spans="1:5" x14ac:dyDescent="0.3">
      <c r="A1484">
        <v>9632</v>
      </c>
      <c r="B1484" s="1">
        <v>43761</v>
      </c>
      <c r="C1484" s="1"/>
      <c r="E1484" t="b">
        <f>NOT(OR(ISBLANK(tblEmployee[[#This Row],[EndDate]]),tblEmployee[[#This Row],[EndDate]]-tblEmployee[[#This Row],[StartDate]]&gt;90))</f>
        <v>0</v>
      </c>
    </row>
    <row r="1485" spans="1:5" x14ac:dyDescent="0.3">
      <c r="A1485">
        <v>9633</v>
      </c>
      <c r="B1485" s="1">
        <v>44147</v>
      </c>
      <c r="C1485" s="1"/>
      <c r="E1485" t="b">
        <f>NOT(OR(ISBLANK(tblEmployee[[#This Row],[EndDate]]),tblEmployee[[#This Row],[EndDate]]-tblEmployee[[#This Row],[StartDate]]&gt;90))</f>
        <v>0</v>
      </c>
    </row>
    <row r="1486" spans="1:5" x14ac:dyDescent="0.3">
      <c r="A1486">
        <v>9637</v>
      </c>
      <c r="B1486" s="1">
        <v>40012</v>
      </c>
      <c r="C1486" s="1"/>
      <c r="E1486" t="b">
        <f>NOT(OR(ISBLANK(tblEmployee[[#This Row],[EndDate]]),tblEmployee[[#This Row],[EndDate]]-tblEmployee[[#This Row],[StartDate]]&gt;90))</f>
        <v>0</v>
      </c>
    </row>
    <row r="1487" spans="1:5" x14ac:dyDescent="0.3">
      <c r="A1487">
        <v>9643</v>
      </c>
      <c r="B1487" s="1">
        <v>40330</v>
      </c>
      <c r="C1487" s="1"/>
      <c r="E1487" t="b">
        <f>NOT(OR(ISBLANK(tblEmployee[[#This Row],[EndDate]]),tblEmployee[[#This Row],[EndDate]]-tblEmployee[[#This Row],[StartDate]]&gt;90))</f>
        <v>0</v>
      </c>
    </row>
    <row r="1488" spans="1:5" x14ac:dyDescent="0.3">
      <c r="A1488">
        <v>9645</v>
      </c>
      <c r="B1488" s="1">
        <v>41694</v>
      </c>
      <c r="C1488" s="1"/>
      <c r="E1488" t="b">
        <f>NOT(OR(ISBLANK(tblEmployee[[#This Row],[EndDate]]),tblEmployee[[#This Row],[EndDate]]-tblEmployee[[#This Row],[StartDate]]&gt;90))</f>
        <v>0</v>
      </c>
    </row>
    <row r="1489" spans="1:5" x14ac:dyDescent="0.3">
      <c r="A1489">
        <v>9655</v>
      </c>
      <c r="B1489" s="1">
        <v>38911</v>
      </c>
      <c r="C1489" s="1"/>
      <c r="E1489" t="b">
        <f>NOT(OR(ISBLANK(tblEmployee[[#This Row],[EndDate]]),tblEmployee[[#This Row],[EndDate]]-tblEmployee[[#This Row],[StartDate]]&gt;90))</f>
        <v>0</v>
      </c>
    </row>
    <row r="1490" spans="1:5" x14ac:dyDescent="0.3">
      <c r="A1490">
        <v>9660</v>
      </c>
      <c r="B1490" s="1">
        <v>43444</v>
      </c>
      <c r="C1490" s="1"/>
      <c r="E1490" t="b">
        <f>NOT(OR(ISBLANK(tblEmployee[[#This Row],[EndDate]]),tblEmployee[[#This Row],[EndDate]]-tblEmployee[[#This Row],[StartDate]]&gt;90))</f>
        <v>0</v>
      </c>
    </row>
    <row r="1491" spans="1:5" x14ac:dyDescent="0.3">
      <c r="A1491">
        <v>9662</v>
      </c>
      <c r="B1491" s="1">
        <v>39610</v>
      </c>
      <c r="C1491" s="1"/>
      <c r="E1491" t="b">
        <f>NOT(OR(ISBLANK(tblEmployee[[#This Row],[EndDate]]),tblEmployee[[#This Row],[EndDate]]-tblEmployee[[#This Row],[StartDate]]&gt;90))</f>
        <v>0</v>
      </c>
    </row>
    <row r="1492" spans="1:5" x14ac:dyDescent="0.3">
      <c r="A1492">
        <v>9664</v>
      </c>
      <c r="B1492" s="1">
        <v>40770</v>
      </c>
      <c r="C1492" s="1">
        <v>42422</v>
      </c>
      <c r="D1492" t="s">
        <v>25</v>
      </c>
      <c r="E1492" t="b">
        <f>NOT(OR(ISBLANK(tblEmployee[[#This Row],[EndDate]]),tblEmployee[[#This Row],[EndDate]]-tblEmployee[[#This Row],[StartDate]]&gt;90))</f>
        <v>0</v>
      </c>
    </row>
    <row r="1493" spans="1:5" x14ac:dyDescent="0.3">
      <c r="A1493">
        <v>9665</v>
      </c>
      <c r="B1493" s="1">
        <v>44353</v>
      </c>
      <c r="C1493" s="1">
        <v>44514</v>
      </c>
      <c r="D1493" t="s">
        <v>31</v>
      </c>
      <c r="E1493" t="b">
        <f>NOT(OR(ISBLANK(tblEmployee[[#This Row],[EndDate]]),tblEmployee[[#This Row],[EndDate]]-tblEmployee[[#This Row],[StartDate]]&gt;90))</f>
        <v>0</v>
      </c>
    </row>
    <row r="1494" spans="1:5" x14ac:dyDescent="0.3">
      <c r="A1494">
        <v>9672</v>
      </c>
      <c r="B1494" s="1">
        <v>41503</v>
      </c>
      <c r="C1494" s="1"/>
      <c r="E1494" t="b">
        <f>NOT(OR(ISBLANK(tblEmployee[[#This Row],[EndDate]]),tblEmployee[[#This Row],[EndDate]]-tblEmployee[[#This Row],[StartDate]]&gt;90))</f>
        <v>0</v>
      </c>
    </row>
    <row r="1495" spans="1:5" x14ac:dyDescent="0.3">
      <c r="A1495">
        <v>9678</v>
      </c>
      <c r="B1495" s="1">
        <v>38960</v>
      </c>
      <c r="C1495" s="1">
        <v>43714</v>
      </c>
      <c r="D1495" t="s">
        <v>26</v>
      </c>
      <c r="E1495" t="b">
        <f>NOT(OR(ISBLANK(tblEmployee[[#This Row],[EndDate]]),tblEmployee[[#This Row],[EndDate]]-tblEmployee[[#This Row],[StartDate]]&gt;90))</f>
        <v>0</v>
      </c>
    </row>
    <row r="1496" spans="1:5" x14ac:dyDescent="0.3">
      <c r="A1496">
        <v>9682</v>
      </c>
      <c r="B1496" s="1">
        <v>43043</v>
      </c>
      <c r="C1496" s="1"/>
      <c r="E1496" t="b">
        <f>NOT(OR(ISBLANK(tblEmployee[[#This Row],[EndDate]]),tblEmployee[[#This Row],[EndDate]]-tblEmployee[[#This Row],[StartDate]]&gt;90))</f>
        <v>0</v>
      </c>
    </row>
    <row r="1497" spans="1:5" x14ac:dyDescent="0.3">
      <c r="A1497">
        <v>9684</v>
      </c>
      <c r="B1497" s="1">
        <v>43486</v>
      </c>
      <c r="C1497" s="1"/>
      <c r="E1497" t="b">
        <f>NOT(OR(ISBLANK(tblEmployee[[#This Row],[EndDate]]),tblEmployee[[#This Row],[EndDate]]-tblEmployee[[#This Row],[StartDate]]&gt;90))</f>
        <v>0</v>
      </c>
    </row>
    <row r="1498" spans="1:5" x14ac:dyDescent="0.3">
      <c r="A1498">
        <v>9686</v>
      </c>
      <c r="B1498" s="1">
        <v>37416</v>
      </c>
      <c r="C1498" s="1"/>
      <c r="E1498" t="b">
        <f>NOT(OR(ISBLANK(tblEmployee[[#This Row],[EndDate]]),tblEmployee[[#This Row],[EndDate]]-tblEmployee[[#This Row],[StartDate]]&gt;90))</f>
        <v>0</v>
      </c>
    </row>
    <row r="1499" spans="1:5" x14ac:dyDescent="0.3">
      <c r="A1499">
        <v>9688</v>
      </c>
      <c r="B1499" s="1">
        <v>43935</v>
      </c>
      <c r="C1499" s="1"/>
      <c r="E1499" t="b">
        <f>NOT(OR(ISBLANK(tblEmployee[[#This Row],[EndDate]]),tblEmployee[[#This Row],[EndDate]]-tblEmployee[[#This Row],[StartDate]]&gt;90))</f>
        <v>0</v>
      </c>
    </row>
    <row r="1500" spans="1:5" x14ac:dyDescent="0.3">
      <c r="A1500">
        <v>9689</v>
      </c>
      <c r="B1500" s="1">
        <v>42797</v>
      </c>
      <c r="C1500" s="1"/>
      <c r="E1500" t="b">
        <f>NOT(OR(ISBLANK(tblEmployee[[#This Row],[EndDate]]),tblEmployee[[#This Row],[EndDate]]-tblEmployee[[#This Row],[StartDate]]&gt;90))</f>
        <v>0</v>
      </c>
    </row>
    <row r="1501" spans="1:5" x14ac:dyDescent="0.3">
      <c r="A1501">
        <v>9691</v>
      </c>
      <c r="B1501" s="1">
        <v>42302</v>
      </c>
      <c r="C1501" s="1"/>
      <c r="E1501" t="b">
        <f>NOT(OR(ISBLANK(tblEmployee[[#This Row],[EndDate]]),tblEmployee[[#This Row],[EndDate]]-tblEmployee[[#This Row],[StartDate]]&gt;90))</f>
        <v>0</v>
      </c>
    </row>
    <row r="1502" spans="1:5" x14ac:dyDescent="0.3">
      <c r="A1502">
        <v>9692</v>
      </c>
      <c r="B1502" s="1">
        <v>44086</v>
      </c>
      <c r="C1502" s="1">
        <v>44216</v>
      </c>
      <c r="D1502" t="s">
        <v>27</v>
      </c>
      <c r="E1502" t="b">
        <f>NOT(OR(ISBLANK(tblEmployee[[#This Row],[EndDate]]),tblEmployee[[#This Row],[EndDate]]-tblEmployee[[#This Row],[StartDate]]&gt;90))</f>
        <v>0</v>
      </c>
    </row>
    <row r="1503" spans="1:5" x14ac:dyDescent="0.3">
      <c r="A1503">
        <v>9699</v>
      </c>
      <c r="B1503" s="1">
        <v>37415</v>
      </c>
      <c r="C1503" s="1"/>
      <c r="E1503" t="b">
        <f>NOT(OR(ISBLANK(tblEmployee[[#This Row],[EndDate]]),tblEmployee[[#This Row],[EndDate]]-tblEmployee[[#This Row],[StartDate]]&gt;90))</f>
        <v>0</v>
      </c>
    </row>
    <row r="1504" spans="1:5" x14ac:dyDescent="0.3">
      <c r="A1504">
        <v>9700</v>
      </c>
      <c r="B1504" s="1">
        <v>43976</v>
      </c>
      <c r="C1504" s="1"/>
      <c r="E1504" t="b">
        <f>NOT(OR(ISBLANK(tblEmployee[[#This Row],[EndDate]]),tblEmployee[[#This Row],[EndDate]]-tblEmployee[[#This Row],[StartDate]]&gt;90))</f>
        <v>0</v>
      </c>
    </row>
    <row r="1505" spans="1:5" x14ac:dyDescent="0.3">
      <c r="A1505">
        <v>9715</v>
      </c>
      <c r="B1505" s="1">
        <v>42998</v>
      </c>
      <c r="C1505" s="1"/>
      <c r="E1505" t="b">
        <f>NOT(OR(ISBLANK(tblEmployee[[#This Row],[EndDate]]),tblEmployee[[#This Row],[EndDate]]-tblEmployee[[#This Row],[StartDate]]&gt;90))</f>
        <v>0</v>
      </c>
    </row>
    <row r="1506" spans="1:5" x14ac:dyDescent="0.3">
      <c r="A1506">
        <v>9724</v>
      </c>
      <c r="B1506" s="1">
        <v>39934</v>
      </c>
      <c r="C1506" s="1"/>
      <c r="E1506" t="b">
        <f>NOT(OR(ISBLANK(tblEmployee[[#This Row],[EndDate]]),tblEmployee[[#This Row],[EndDate]]-tblEmployee[[#This Row],[StartDate]]&gt;90))</f>
        <v>0</v>
      </c>
    </row>
    <row r="1507" spans="1:5" x14ac:dyDescent="0.3">
      <c r="A1507">
        <v>9735</v>
      </c>
      <c r="B1507" s="1">
        <v>42347</v>
      </c>
      <c r="C1507" s="1">
        <v>43163</v>
      </c>
      <c r="D1507" t="s">
        <v>26</v>
      </c>
      <c r="E1507" t="b">
        <f>NOT(OR(ISBLANK(tblEmployee[[#This Row],[EndDate]]),tblEmployee[[#This Row],[EndDate]]-tblEmployee[[#This Row],[StartDate]]&gt;90))</f>
        <v>0</v>
      </c>
    </row>
    <row r="1508" spans="1:5" x14ac:dyDescent="0.3">
      <c r="A1508">
        <v>9736</v>
      </c>
      <c r="B1508" s="1">
        <v>39369</v>
      </c>
      <c r="C1508" s="1"/>
      <c r="E1508" t="b">
        <f>NOT(OR(ISBLANK(tblEmployee[[#This Row],[EndDate]]),tblEmployee[[#This Row],[EndDate]]-tblEmployee[[#This Row],[StartDate]]&gt;90))</f>
        <v>0</v>
      </c>
    </row>
    <row r="1509" spans="1:5" x14ac:dyDescent="0.3">
      <c r="A1509">
        <v>9747</v>
      </c>
      <c r="B1509" s="1">
        <v>41476</v>
      </c>
      <c r="C1509" s="1">
        <v>44475</v>
      </c>
      <c r="D1509" t="s">
        <v>25</v>
      </c>
      <c r="E1509" t="b">
        <f>NOT(OR(ISBLANK(tblEmployee[[#This Row],[EndDate]]),tblEmployee[[#This Row],[EndDate]]-tblEmployee[[#This Row],[StartDate]]&gt;90))</f>
        <v>0</v>
      </c>
    </row>
    <row r="1510" spans="1:5" x14ac:dyDescent="0.3">
      <c r="A1510">
        <v>9748</v>
      </c>
      <c r="B1510" s="1">
        <v>42099</v>
      </c>
      <c r="C1510" s="1"/>
      <c r="E1510" t="b">
        <f>NOT(OR(ISBLANK(tblEmployee[[#This Row],[EndDate]]),tblEmployee[[#This Row],[EndDate]]-tblEmployee[[#This Row],[StartDate]]&gt;90))</f>
        <v>0</v>
      </c>
    </row>
    <row r="1511" spans="1:5" x14ac:dyDescent="0.3">
      <c r="A1511">
        <v>9754</v>
      </c>
      <c r="B1511" s="1">
        <v>44307</v>
      </c>
      <c r="C1511" s="1">
        <v>44447</v>
      </c>
      <c r="D1511" t="s">
        <v>26</v>
      </c>
      <c r="E1511" t="b">
        <f>NOT(OR(ISBLANK(tblEmployee[[#This Row],[EndDate]]),tblEmployee[[#This Row],[EndDate]]-tblEmployee[[#This Row],[StartDate]]&gt;90))</f>
        <v>0</v>
      </c>
    </row>
    <row r="1512" spans="1:5" x14ac:dyDescent="0.3">
      <c r="A1512">
        <v>9756</v>
      </c>
      <c r="B1512" s="1">
        <v>39236</v>
      </c>
      <c r="C1512" s="1"/>
      <c r="E1512" t="b">
        <f>NOT(OR(ISBLANK(tblEmployee[[#This Row],[EndDate]]),tblEmployee[[#This Row],[EndDate]]-tblEmployee[[#This Row],[StartDate]]&gt;90))</f>
        <v>0</v>
      </c>
    </row>
    <row r="1513" spans="1:5" x14ac:dyDescent="0.3">
      <c r="A1513">
        <v>9758</v>
      </c>
      <c r="B1513" s="1">
        <v>41297</v>
      </c>
      <c r="C1513" s="1"/>
      <c r="E1513" t="b">
        <f>NOT(OR(ISBLANK(tblEmployee[[#This Row],[EndDate]]),tblEmployee[[#This Row],[EndDate]]-tblEmployee[[#This Row],[StartDate]]&gt;90))</f>
        <v>0</v>
      </c>
    </row>
    <row r="1514" spans="1:5" x14ac:dyDescent="0.3">
      <c r="A1514">
        <v>9760</v>
      </c>
      <c r="B1514" s="1">
        <v>40747</v>
      </c>
      <c r="C1514" s="1"/>
      <c r="E1514" t="b">
        <f>NOT(OR(ISBLANK(tblEmployee[[#This Row],[EndDate]]),tblEmployee[[#This Row],[EndDate]]-tblEmployee[[#This Row],[StartDate]]&gt;90))</f>
        <v>0</v>
      </c>
    </row>
    <row r="1515" spans="1:5" x14ac:dyDescent="0.3">
      <c r="A1515">
        <v>9767</v>
      </c>
      <c r="B1515" s="1">
        <v>37823</v>
      </c>
      <c r="C1515" s="1">
        <v>44521</v>
      </c>
      <c r="D1515" t="s">
        <v>25</v>
      </c>
      <c r="E1515" t="b">
        <f>NOT(OR(ISBLANK(tblEmployee[[#This Row],[EndDate]]),tblEmployee[[#This Row],[EndDate]]-tblEmployee[[#This Row],[StartDate]]&gt;90))</f>
        <v>0</v>
      </c>
    </row>
    <row r="1516" spans="1:5" x14ac:dyDescent="0.3">
      <c r="A1516">
        <v>9778</v>
      </c>
      <c r="B1516" s="1">
        <v>37945</v>
      </c>
      <c r="C1516" s="1"/>
      <c r="E1516" t="b">
        <f>NOT(OR(ISBLANK(tblEmployee[[#This Row],[EndDate]]),tblEmployee[[#This Row],[EndDate]]-tblEmployee[[#This Row],[StartDate]]&gt;90))</f>
        <v>0</v>
      </c>
    </row>
    <row r="1517" spans="1:5" x14ac:dyDescent="0.3">
      <c r="A1517">
        <v>9784</v>
      </c>
      <c r="B1517" s="1">
        <v>39258</v>
      </c>
      <c r="C1517" s="1">
        <v>40852</v>
      </c>
      <c r="D1517" t="s">
        <v>27</v>
      </c>
      <c r="E1517" t="b">
        <f>NOT(OR(ISBLANK(tblEmployee[[#This Row],[EndDate]]),tblEmployee[[#This Row],[EndDate]]-tblEmployee[[#This Row],[StartDate]]&gt;90))</f>
        <v>0</v>
      </c>
    </row>
    <row r="1518" spans="1:5" x14ac:dyDescent="0.3">
      <c r="A1518">
        <v>9789</v>
      </c>
      <c r="B1518" s="1">
        <v>40233</v>
      </c>
      <c r="C1518" s="1"/>
      <c r="E1518" t="b">
        <f>NOT(OR(ISBLANK(tblEmployee[[#This Row],[EndDate]]),tblEmployee[[#This Row],[EndDate]]-tblEmployee[[#This Row],[StartDate]]&gt;90))</f>
        <v>0</v>
      </c>
    </row>
    <row r="1519" spans="1:5" x14ac:dyDescent="0.3">
      <c r="A1519">
        <v>9793</v>
      </c>
      <c r="B1519" s="1">
        <v>39087</v>
      </c>
      <c r="C1519" s="1"/>
      <c r="E1519" t="b">
        <f>NOT(OR(ISBLANK(tblEmployee[[#This Row],[EndDate]]),tblEmployee[[#This Row],[EndDate]]-tblEmployee[[#This Row],[StartDate]]&gt;90))</f>
        <v>0</v>
      </c>
    </row>
    <row r="1520" spans="1:5" x14ac:dyDescent="0.3">
      <c r="A1520">
        <v>9810</v>
      </c>
      <c r="B1520" s="1">
        <v>41374</v>
      </c>
      <c r="C1520" s="1"/>
      <c r="E1520" t="b">
        <f>NOT(OR(ISBLANK(tblEmployee[[#This Row],[EndDate]]),tblEmployee[[#This Row],[EndDate]]-tblEmployee[[#This Row],[StartDate]]&gt;90))</f>
        <v>0</v>
      </c>
    </row>
    <row r="1521" spans="1:5" x14ac:dyDescent="0.3">
      <c r="A1521">
        <v>9811</v>
      </c>
      <c r="B1521" s="1">
        <v>41281</v>
      </c>
      <c r="C1521" s="1">
        <v>42955</v>
      </c>
      <c r="D1521" t="s">
        <v>27</v>
      </c>
      <c r="E1521" t="b">
        <f>NOT(OR(ISBLANK(tblEmployee[[#This Row],[EndDate]]),tblEmployee[[#This Row],[EndDate]]-tblEmployee[[#This Row],[StartDate]]&gt;90))</f>
        <v>0</v>
      </c>
    </row>
    <row r="1522" spans="1:5" x14ac:dyDescent="0.3">
      <c r="A1522">
        <v>9815</v>
      </c>
      <c r="B1522" s="1">
        <v>40148</v>
      </c>
      <c r="C1522" s="1"/>
      <c r="E1522" t="b">
        <f>NOT(OR(ISBLANK(tblEmployee[[#This Row],[EndDate]]),tblEmployee[[#This Row],[EndDate]]-tblEmployee[[#This Row],[StartDate]]&gt;90))</f>
        <v>0</v>
      </c>
    </row>
    <row r="1523" spans="1:5" x14ac:dyDescent="0.3">
      <c r="A1523">
        <v>9816</v>
      </c>
      <c r="B1523" s="1">
        <v>40772</v>
      </c>
      <c r="C1523" s="1"/>
      <c r="E1523" t="b">
        <f>NOT(OR(ISBLANK(tblEmployee[[#This Row],[EndDate]]),tblEmployee[[#This Row],[EndDate]]-tblEmployee[[#This Row],[StartDate]]&gt;90))</f>
        <v>0</v>
      </c>
    </row>
    <row r="1524" spans="1:5" x14ac:dyDescent="0.3">
      <c r="A1524">
        <v>9830</v>
      </c>
      <c r="B1524" s="1">
        <v>39277</v>
      </c>
      <c r="C1524" s="1"/>
      <c r="E1524" t="b">
        <f>NOT(OR(ISBLANK(tblEmployee[[#This Row],[EndDate]]),tblEmployee[[#This Row],[EndDate]]-tblEmployee[[#This Row],[StartDate]]&gt;90))</f>
        <v>0</v>
      </c>
    </row>
    <row r="1525" spans="1:5" x14ac:dyDescent="0.3">
      <c r="A1525">
        <v>9831</v>
      </c>
      <c r="B1525" s="1">
        <v>39076</v>
      </c>
      <c r="C1525" s="1"/>
      <c r="E1525" t="b">
        <f>NOT(OR(ISBLANK(tblEmployee[[#This Row],[EndDate]]),tblEmployee[[#This Row],[EndDate]]-tblEmployee[[#This Row],[StartDate]]&gt;90))</f>
        <v>0</v>
      </c>
    </row>
    <row r="1526" spans="1:5" x14ac:dyDescent="0.3">
      <c r="A1526">
        <v>9839</v>
      </c>
      <c r="B1526" s="1">
        <v>43647</v>
      </c>
      <c r="C1526" s="1"/>
      <c r="E1526" t="b">
        <f>NOT(OR(ISBLANK(tblEmployee[[#This Row],[EndDate]]),tblEmployee[[#This Row],[EndDate]]-tblEmployee[[#This Row],[StartDate]]&gt;90))</f>
        <v>0</v>
      </c>
    </row>
    <row r="1527" spans="1:5" x14ac:dyDescent="0.3">
      <c r="A1527">
        <v>9851</v>
      </c>
      <c r="B1527" s="1">
        <v>41683</v>
      </c>
      <c r="C1527" s="1">
        <v>42227</v>
      </c>
      <c r="D1527" t="s">
        <v>56</v>
      </c>
      <c r="E1527" t="b">
        <f>NOT(OR(ISBLANK(tblEmployee[[#This Row],[EndDate]]),tblEmployee[[#This Row],[EndDate]]-tblEmployee[[#This Row],[StartDate]]&gt;90))</f>
        <v>0</v>
      </c>
    </row>
    <row r="1528" spans="1:5" x14ac:dyDescent="0.3">
      <c r="A1528">
        <v>9853</v>
      </c>
      <c r="B1528" s="1">
        <v>38137</v>
      </c>
      <c r="C1528" s="1"/>
      <c r="E1528" t="b">
        <f>NOT(OR(ISBLANK(tblEmployee[[#This Row],[EndDate]]),tblEmployee[[#This Row],[EndDate]]-tblEmployee[[#This Row],[StartDate]]&gt;90))</f>
        <v>0</v>
      </c>
    </row>
    <row r="1529" spans="1:5" x14ac:dyDescent="0.3">
      <c r="A1529">
        <v>9855</v>
      </c>
      <c r="B1529" s="1">
        <v>43289</v>
      </c>
      <c r="C1529" s="1"/>
      <c r="E1529" t="b">
        <f>NOT(OR(ISBLANK(tblEmployee[[#This Row],[EndDate]]),tblEmployee[[#This Row],[EndDate]]-tblEmployee[[#This Row],[StartDate]]&gt;90))</f>
        <v>0</v>
      </c>
    </row>
    <row r="1530" spans="1:5" x14ac:dyDescent="0.3">
      <c r="A1530">
        <v>9856</v>
      </c>
      <c r="B1530" s="1">
        <v>37271</v>
      </c>
      <c r="C1530" s="1"/>
      <c r="E1530" t="b">
        <f>NOT(OR(ISBLANK(tblEmployee[[#This Row],[EndDate]]),tblEmployee[[#This Row],[EndDate]]-tblEmployee[[#This Row],[StartDate]]&gt;90))</f>
        <v>0</v>
      </c>
    </row>
    <row r="1531" spans="1:5" x14ac:dyDescent="0.3">
      <c r="A1531">
        <v>9857</v>
      </c>
      <c r="B1531" s="1">
        <v>42819</v>
      </c>
      <c r="C1531" s="1"/>
      <c r="E1531" t="b">
        <f>NOT(OR(ISBLANK(tblEmployee[[#This Row],[EndDate]]),tblEmployee[[#This Row],[EndDate]]-tblEmployee[[#This Row],[StartDate]]&gt;90))</f>
        <v>0</v>
      </c>
    </row>
    <row r="1532" spans="1:5" x14ac:dyDescent="0.3">
      <c r="A1532">
        <v>9858</v>
      </c>
      <c r="B1532" s="1">
        <v>38725</v>
      </c>
      <c r="C1532" s="1">
        <v>41011</v>
      </c>
      <c r="D1532" t="s">
        <v>56</v>
      </c>
      <c r="E1532" t="b">
        <f>NOT(OR(ISBLANK(tblEmployee[[#This Row],[EndDate]]),tblEmployee[[#This Row],[EndDate]]-tblEmployee[[#This Row],[StartDate]]&gt;90))</f>
        <v>0</v>
      </c>
    </row>
    <row r="1533" spans="1:5" x14ac:dyDescent="0.3">
      <c r="A1533">
        <v>9861</v>
      </c>
      <c r="B1533" s="1">
        <v>40649</v>
      </c>
      <c r="C1533" s="1"/>
      <c r="E1533" t="b">
        <f>NOT(OR(ISBLANK(tblEmployee[[#This Row],[EndDate]]),tblEmployee[[#This Row],[EndDate]]-tblEmployee[[#This Row],[StartDate]]&gt;90))</f>
        <v>0</v>
      </c>
    </row>
    <row r="1534" spans="1:5" x14ac:dyDescent="0.3">
      <c r="A1534">
        <v>9868</v>
      </c>
      <c r="B1534" s="1">
        <v>41246</v>
      </c>
      <c r="C1534" s="1"/>
      <c r="E1534" t="b">
        <f>NOT(OR(ISBLANK(tblEmployee[[#This Row],[EndDate]]),tblEmployee[[#This Row],[EndDate]]-tblEmployee[[#This Row],[StartDate]]&gt;90))</f>
        <v>0</v>
      </c>
    </row>
    <row r="1535" spans="1:5" x14ac:dyDescent="0.3">
      <c r="A1535">
        <v>9891</v>
      </c>
      <c r="B1535" s="1">
        <v>41469</v>
      </c>
      <c r="C1535" s="1"/>
      <c r="E1535" t="b">
        <f>NOT(OR(ISBLANK(tblEmployee[[#This Row],[EndDate]]),tblEmployee[[#This Row],[EndDate]]-tblEmployee[[#This Row],[StartDate]]&gt;90))</f>
        <v>0</v>
      </c>
    </row>
    <row r="1536" spans="1:5" x14ac:dyDescent="0.3">
      <c r="A1536">
        <v>9894</v>
      </c>
      <c r="B1536" s="1">
        <v>40173</v>
      </c>
      <c r="C1536" s="1"/>
      <c r="E1536" t="b">
        <f>NOT(OR(ISBLANK(tblEmployee[[#This Row],[EndDate]]),tblEmployee[[#This Row],[EndDate]]-tblEmployee[[#This Row],[StartDate]]&gt;90))</f>
        <v>0</v>
      </c>
    </row>
    <row r="1537" spans="1:5" x14ac:dyDescent="0.3">
      <c r="A1537">
        <v>9900</v>
      </c>
      <c r="B1537" s="1">
        <v>41088</v>
      </c>
      <c r="C1537" s="1"/>
      <c r="E1537" t="b">
        <f>NOT(OR(ISBLANK(tblEmployee[[#This Row],[EndDate]]),tblEmployee[[#This Row],[EndDate]]-tblEmployee[[#This Row],[StartDate]]&gt;90))</f>
        <v>0</v>
      </c>
    </row>
    <row r="1538" spans="1:5" x14ac:dyDescent="0.3">
      <c r="A1538">
        <v>9904</v>
      </c>
      <c r="B1538" s="1">
        <v>38945</v>
      </c>
      <c r="C1538" s="1">
        <v>39577</v>
      </c>
      <c r="D1538" t="s">
        <v>29</v>
      </c>
      <c r="E1538" t="b">
        <f>NOT(OR(ISBLANK(tblEmployee[[#This Row],[EndDate]]),tblEmployee[[#This Row],[EndDate]]-tblEmployee[[#This Row],[StartDate]]&gt;90))</f>
        <v>0</v>
      </c>
    </row>
    <row r="1539" spans="1:5" x14ac:dyDescent="0.3">
      <c r="A1539">
        <v>9905</v>
      </c>
      <c r="B1539" s="1">
        <v>41361</v>
      </c>
      <c r="C1539" s="1">
        <v>40852</v>
      </c>
      <c r="D1539" t="s">
        <v>27</v>
      </c>
      <c r="E1539" t="b">
        <f>NOT(OR(ISBLANK(tblEmployee[[#This Row],[EndDate]]),tblEmployee[[#This Row],[EndDate]]-tblEmployee[[#This Row],[StartDate]]&gt;90))</f>
        <v>1</v>
      </c>
    </row>
    <row r="1540" spans="1:5" x14ac:dyDescent="0.3">
      <c r="A1540">
        <v>9916</v>
      </c>
      <c r="B1540" s="1">
        <v>42766</v>
      </c>
      <c r="C1540" s="1"/>
      <c r="E1540" t="b">
        <f>NOT(OR(ISBLANK(tblEmployee[[#This Row],[EndDate]]),tblEmployee[[#This Row],[EndDate]]-tblEmployee[[#This Row],[StartDate]]&gt;90))</f>
        <v>0</v>
      </c>
    </row>
    <row r="1541" spans="1:5" x14ac:dyDescent="0.3">
      <c r="A1541">
        <v>9922</v>
      </c>
      <c r="B1541" s="1">
        <v>40727</v>
      </c>
      <c r="C1541" s="1"/>
      <c r="E1541" t="b">
        <f>NOT(OR(ISBLANK(tblEmployee[[#This Row],[EndDate]]),tblEmployee[[#This Row],[EndDate]]-tblEmployee[[#This Row],[StartDate]]&gt;90))</f>
        <v>0</v>
      </c>
    </row>
    <row r="1542" spans="1:5" x14ac:dyDescent="0.3">
      <c r="A1542">
        <v>9925</v>
      </c>
      <c r="B1542" s="1">
        <v>43777</v>
      </c>
      <c r="C1542" s="1"/>
      <c r="E1542" t="b">
        <f>NOT(OR(ISBLANK(tblEmployee[[#This Row],[EndDate]]),tblEmployee[[#This Row],[EndDate]]-tblEmployee[[#This Row],[StartDate]]&gt;90))</f>
        <v>0</v>
      </c>
    </row>
    <row r="1543" spans="1:5" x14ac:dyDescent="0.3">
      <c r="A1543">
        <v>9929</v>
      </c>
      <c r="B1543" s="1">
        <v>42873</v>
      </c>
      <c r="C1543" s="1">
        <v>42955</v>
      </c>
      <c r="D1543" t="s">
        <v>27</v>
      </c>
      <c r="E1543" t="b">
        <f>NOT(OR(ISBLANK(tblEmployee[[#This Row],[EndDate]]),tblEmployee[[#This Row],[EndDate]]-tblEmployee[[#This Row],[StartDate]]&gt;90))</f>
        <v>1</v>
      </c>
    </row>
    <row r="1544" spans="1:5" x14ac:dyDescent="0.3">
      <c r="A1544">
        <v>9933</v>
      </c>
      <c r="B1544" s="1">
        <v>39221</v>
      </c>
      <c r="C1544" s="1"/>
      <c r="E1544" t="b">
        <f>NOT(OR(ISBLANK(tblEmployee[[#This Row],[EndDate]]),tblEmployee[[#This Row],[EndDate]]-tblEmployee[[#This Row],[StartDate]]&gt;90))</f>
        <v>0</v>
      </c>
    </row>
    <row r="1545" spans="1:5" x14ac:dyDescent="0.3">
      <c r="A1545">
        <v>9943</v>
      </c>
      <c r="B1545" s="1">
        <v>38562</v>
      </c>
      <c r="C1545" s="1"/>
      <c r="E1545" t="b">
        <f>NOT(OR(ISBLANK(tblEmployee[[#This Row],[EndDate]]),tblEmployee[[#This Row],[EndDate]]-tblEmployee[[#This Row],[StartDate]]&gt;90))</f>
        <v>0</v>
      </c>
    </row>
    <row r="1546" spans="1:5" x14ac:dyDescent="0.3">
      <c r="A1546">
        <v>9945</v>
      </c>
      <c r="B1546" s="1">
        <v>38886</v>
      </c>
      <c r="C1546" s="1"/>
      <c r="E1546" t="b">
        <f>NOT(OR(ISBLANK(tblEmployee[[#This Row],[EndDate]]),tblEmployee[[#This Row],[EndDate]]-tblEmployee[[#This Row],[StartDate]]&gt;90))</f>
        <v>0</v>
      </c>
    </row>
    <row r="1547" spans="1:5" x14ac:dyDescent="0.3">
      <c r="A1547">
        <v>9958</v>
      </c>
      <c r="B1547" s="1">
        <v>38555</v>
      </c>
      <c r="C1547" s="1"/>
      <c r="E1547" t="b">
        <f>NOT(OR(ISBLANK(tblEmployee[[#This Row],[EndDate]]),tblEmployee[[#This Row],[EndDate]]-tblEmployee[[#This Row],[StartDate]]&gt;90))</f>
        <v>0</v>
      </c>
    </row>
    <row r="1548" spans="1:5" x14ac:dyDescent="0.3">
      <c r="A1548">
        <v>9969</v>
      </c>
      <c r="B1548" s="1">
        <v>39255</v>
      </c>
      <c r="C1548" s="1"/>
      <c r="E1548" t="b">
        <f>NOT(OR(ISBLANK(tblEmployee[[#This Row],[EndDate]]),tblEmployee[[#This Row],[EndDate]]-tblEmployee[[#This Row],[StartDate]]&gt;90))</f>
        <v>0</v>
      </c>
    </row>
    <row r="1549" spans="1:5" x14ac:dyDescent="0.3">
      <c r="A1549">
        <v>9970</v>
      </c>
      <c r="B1549" s="1">
        <v>41755</v>
      </c>
      <c r="C1549" s="1">
        <v>42227</v>
      </c>
      <c r="D1549" t="s">
        <v>56</v>
      </c>
      <c r="E1549" t="b">
        <f>NOT(OR(ISBLANK(tblEmployee[[#This Row],[EndDate]]),tblEmployee[[#This Row],[EndDate]]-tblEmployee[[#This Row],[StartDate]]&gt;90))</f>
        <v>0</v>
      </c>
    </row>
    <row r="1550" spans="1:5" x14ac:dyDescent="0.3">
      <c r="A1550">
        <v>9977</v>
      </c>
      <c r="B1550" s="1">
        <v>40684</v>
      </c>
      <c r="C1550" s="1"/>
      <c r="E1550" t="b">
        <f>NOT(OR(ISBLANK(tblEmployee[[#This Row],[EndDate]]),tblEmployee[[#This Row],[EndDate]]-tblEmployee[[#This Row],[StartDate]]&gt;90))</f>
        <v>0</v>
      </c>
    </row>
    <row r="1551" spans="1:5" x14ac:dyDescent="0.3">
      <c r="A1551">
        <v>9986</v>
      </c>
      <c r="B1551" s="1">
        <v>42352</v>
      </c>
      <c r="C1551" s="1"/>
      <c r="E1551" t="b">
        <f>NOT(OR(ISBLANK(tblEmployee[[#This Row],[EndDate]]),tblEmployee[[#This Row],[EndDate]]-tblEmployee[[#This Row],[StartDate]]&gt;90))</f>
        <v>0</v>
      </c>
    </row>
    <row r="1552" spans="1:5" x14ac:dyDescent="0.3">
      <c r="A1552">
        <v>9997</v>
      </c>
      <c r="B1552" s="1">
        <v>40150</v>
      </c>
      <c r="C1552" s="1"/>
      <c r="E1552" t="b">
        <f>NOT(OR(ISBLANK(tblEmployee[[#This Row],[EndDate]]),tblEmployee[[#This Row],[EndDate]]-tblEmployee[[#This Row],[StartDate]]&gt;90))</f>
        <v>0</v>
      </c>
    </row>
    <row r="1553" spans="1:5" x14ac:dyDescent="0.3">
      <c r="A1553">
        <v>10008</v>
      </c>
      <c r="B1553" s="1">
        <v>39076</v>
      </c>
      <c r="C1553" s="1"/>
      <c r="E1553" s="6" t="b">
        <f>NOT(OR(ISBLANK(tblEmployee[[#This Row],[EndDate]]),tblEmployee[[#This Row],[EndDate]]-tblEmployee[[#This Row],[StartDate]]&gt;90))</f>
        <v>0</v>
      </c>
    </row>
    <row r="1554" spans="1:5" x14ac:dyDescent="0.3">
      <c r="A1554">
        <v>10019</v>
      </c>
      <c r="B1554" s="1">
        <v>43647</v>
      </c>
      <c r="C1554" s="1">
        <v>41011</v>
      </c>
      <c r="D1554" t="s">
        <v>56</v>
      </c>
      <c r="E1554" s="6" t="b">
        <f>NOT(OR(ISBLANK(tblEmployee[[#This Row],[EndDate]]),tblEmployee[[#This Row],[EndDate]]-tblEmployee[[#This Row],[StartDate]]&gt;90))</f>
        <v>1</v>
      </c>
    </row>
    <row r="1555" spans="1:5" x14ac:dyDescent="0.3">
      <c r="A1555">
        <v>10030</v>
      </c>
      <c r="B1555" s="1">
        <v>41683</v>
      </c>
      <c r="C1555" s="1"/>
      <c r="E1555" s="6" t="b">
        <f>NOT(OR(ISBLANK(tblEmployee[[#This Row],[EndDate]]),tblEmployee[[#This Row],[EndDate]]-tblEmployee[[#This Row],[StartDate]]&gt;90))</f>
        <v>0</v>
      </c>
    </row>
    <row r="1556" spans="1:5" x14ac:dyDescent="0.3">
      <c r="A1556">
        <v>10041</v>
      </c>
      <c r="B1556" s="1">
        <v>38137</v>
      </c>
      <c r="C1556" s="1"/>
      <c r="E1556" s="6" t="b">
        <f>NOT(OR(ISBLANK(tblEmployee[[#This Row],[EndDate]]),tblEmployee[[#This Row],[EndDate]]-tblEmployee[[#This Row],[StartDate]]&gt;90))</f>
        <v>0</v>
      </c>
    </row>
    <row r="1557" spans="1:5" x14ac:dyDescent="0.3">
      <c r="A1557">
        <v>10052</v>
      </c>
      <c r="B1557" s="1">
        <v>43289</v>
      </c>
      <c r="C1557" s="1"/>
      <c r="E1557" s="6" t="b">
        <f>NOT(OR(ISBLANK(tblEmployee[[#This Row],[EndDate]]),tblEmployee[[#This Row],[EndDate]]-tblEmployee[[#This Row],[StartDate]]&gt;90))</f>
        <v>0</v>
      </c>
    </row>
    <row r="1558" spans="1:5" x14ac:dyDescent="0.3">
      <c r="A1558">
        <v>10063</v>
      </c>
      <c r="B1558" s="1">
        <v>37271</v>
      </c>
      <c r="C1558" s="1"/>
      <c r="E1558" s="6" t="b">
        <f>NOT(OR(ISBLANK(tblEmployee[[#This Row],[EndDate]]),tblEmployee[[#This Row],[EndDate]]-tblEmployee[[#This Row],[StartDate]]&gt;90))</f>
        <v>0</v>
      </c>
    </row>
    <row r="1559" spans="1:5" x14ac:dyDescent="0.3">
      <c r="A1559">
        <v>10074</v>
      </c>
      <c r="B1559" s="1">
        <v>42819</v>
      </c>
      <c r="C1559" s="1"/>
      <c r="E1559" s="6" t="b">
        <f>NOT(OR(ISBLANK(tblEmployee[[#This Row],[EndDate]]),tblEmployee[[#This Row],[EndDate]]-tblEmployee[[#This Row],[StartDate]]&gt;90))</f>
        <v>0</v>
      </c>
    </row>
    <row r="1560" spans="1:5" x14ac:dyDescent="0.3">
      <c r="A1560">
        <v>10085</v>
      </c>
      <c r="B1560" s="1">
        <v>38725</v>
      </c>
      <c r="C1560" s="1">
        <v>39577</v>
      </c>
      <c r="D1560" t="s">
        <v>29</v>
      </c>
      <c r="E1560" s="6" t="b">
        <f>NOT(OR(ISBLANK(tblEmployee[[#This Row],[EndDate]]),tblEmployee[[#This Row],[EndDate]]-tblEmployee[[#This Row],[StartDate]]&gt;90))</f>
        <v>0</v>
      </c>
    </row>
    <row r="1561" spans="1:5" x14ac:dyDescent="0.3">
      <c r="A1561">
        <v>10096</v>
      </c>
      <c r="B1561" s="1">
        <v>40649</v>
      </c>
      <c r="C1561" s="1">
        <v>40852</v>
      </c>
      <c r="D1561" t="s">
        <v>27</v>
      </c>
      <c r="E1561" s="6" t="b">
        <f>NOT(OR(ISBLANK(tblEmployee[[#This Row],[EndDate]]),tblEmployee[[#This Row],[EndDate]]-tblEmployee[[#This Row],[StartDate]]&gt;90))</f>
        <v>0</v>
      </c>
    </row>
    <row r="1562" spans="1:5" x14ac:dyDescent="0.3">
      <c r="A1562">
        <v>10107</v>
      </c>
      <c r="B1562" s="1">
        <v>41246</v>
      </c>
      <c r="C1562" s="1"/>
      <c r="E1562" s="6" t="b">
        <f>NOT(OR(ISBLANK(tblEmployee[[#This Row],[EndDate]]),tblEmployee[[#This Row],[EndDate]]-tblEmployee[[#This Row],[StartDate]]&gt;90))</f>
        <v>0</v>
      </c>
    </row>
    <row r="1563" spans="1:5" x14ac:dyDescent="0.3">
      <c r="A1563">
        <v>10118</v>
      </c>
      <c r="B1563" s="1">
        <v>41469</v>
      </c>
      <c r="C1563" s="1"/>
      <c r="E1563" s="6" t="b">
        <f>NOT(OR(ISBLANK(tblEmployee[[#This Row],[EndDate]]),tblEmployee[[#This Row],[EndDate]]-tblEmployee[[#This Row],[StartDate]]&gt;90))</f>
        <v>0</v>
      </c>
    </row>
    <row r="1564" spans="1:5" x14ac:dyDescent="0.3">
      <c r="A1564">
        <v>10129</v>
      </c>
      <c r="B1564" s="1">
        <v>40173</v>
      </c>
      <c r="C1564" s="1"/>
      <c r="E1564" s="6" t="b">
        <f>NOT(OR(ISBLANK(tblEmployee[[#This Row],[EndDate]]),tblEmployee[[#This Row],[EndDate]]-tblEmployee[[#This Row],[StartDate]]&gt;90))</f>
        <v>0</v>
      </c>
    </row>
    <row r="1565" spans="1:5" x14ac:dyDescent="0.3">
      <c r="A1565">
        <v>10140</v>
      </c>
      <c r="B1565" s="1">
        <v>41088</v>
      </c>
      <c r="C1565" s="1">
        <v>42955</v>
      </c>
      <c r="D1565" t="s">
        <v>27</v>
      </c>
      <c r="E1565" s="6" t="b">
        <f>NOT(OR(ISBLANK(tblEmployee[[#This Row],[EndDate]]),tblEmployee[[#This Row],[EndDate]]-tblEmployee[[#This Row],[StartDate]]&gt;90))</f>
        <v>0</v>
      </c>
    </row>
    <row r="1566" spans="1:5" x14ac:dyDescent="0.3">
      <c r="A1566">
        <v>10151</v>
      </c>
      <c r="B1566" s="1">
        <v>38945</v>
      </c>
      <c r="C1566" s="1"/>
      <c r="E1566" s="6" t="b">
        <f>NOT(OR(ISBLANK(tblEmployee[[#This Row],[EndDate]]),tblEmployee[[#This Row],[EndDate]]-tblEmployee[[#This Row],[StartDate]]&gt;90))</f>
        <v>0</v>
      </c>
    </row>
    <row r="1567" spans="1:5" x14ac:dyDescent="0.3">
      <c r="A1567">
        <v>10162</v>
      </c>
      <c r="B1567" s="1">
        <v>41361</v>
      </c>
      <c r="C1567" s="1"/>
      <c r="E1567" s="6" t="b">
        <f>NOT(OR(ISBLANK(tblEmployee[[#This Row],[EndDate]]),tblEmployee[[#This Row],[EndDate]]-tblEmployee[[#This Row],[StartDate]]&gt;90))</f>
        <v>0</v>
      </c>
    </row>
    <row r="1568" spans="1:5" x14ac:dyDescent="0.3">
      <c r="A1568">
        <v>10173</v>
      </c>
      <c r="B1568" s="1">
        <v>42766</v>
      </c>
      <c r="C1568" s="1"/>
      <c r="E1568" s="6" t="b">
        <f>NOT(OR(ISBLANK(tblEmployee[[#This Row],[EndDate]]),tblEmployee[[#This Row],[EndDate]]-tblEmployee[[#This Row],[StartDate]]&gt;90))</f>
        <v>0</v>
      </c>
    </row>
    <row r="1569" spans="1:5" x14ac:dyDescent="0.3">
      <c r="A1569">
        <v>10184</v>
      </c>
      <c r="B1569" s="1">
        <v>40727</v>
      </c>
      <c r="C1569" s="1"/>
      <c r="E1569" s="6" t="b">
        <f>NOT(OR(ISBLANK(tblEmployee[[#This Row],[EndDate]]),tblEmployee[[#This Row],[EndDate]]-tblEmployee[[#This Row],[StartDate]]&gt;90))</f>
        <v>0</v>
      </c>
    </row>
    <row r="1570" spans="1:5" x14ac:dyDescent="0.3">
      <c r="A1570">
        <v>10195</v>
      </c>
      <c r="B1570" s="1">
        <v>43777</v>
      </c>
      <c r="C1570" s="1"/>
      <c r="E1570" s="6" t="b">
        <f>NOT(OR(ISBLANK(tblEmployee[[#This Row],[EndDate]]),tblEmployee[[#This Row],[EndDate]]-tblEmployee[[#This Row],[StartDate]]&gt;90))</f>
        <v>0</v>
      </c>
    </row>
    <row r="1571" spans="1:5" x14ac:dyDescent="0.3">
      <c r="A1571">
        <v>10206</v>
      </c>
      <c r="B1571" s="1">
        <v>42873</v>
      </c>
      <c r="C1571" s="1">
        <v>42227</v>
      </c>
      <c r="D1571" t="s">
        <v>56</v>
      </c>
      <c r="E1571" s="6" t="b">
        <f>NOT(OR(ISBLANK(tblEmployee[[#This Row],[EndDate]]),tblEmployee[[#This Row],[EndDate]]-tblEmployee[[#This Row],[StartDate]]&gt;90))</f>
        <v>1</v>
      </c>
    </row>
    <row r="1572" spans="1:5" x14ac:dyDescent="0.3">
      <c r="A1572">
        <v>10217</v>
      </c>
      <c r="B1572" s="1">
        <v>39221</v>
      </c>
      <c r="C1572" s="1"/>
      <c r="E1572" s="6" t="b">
        <f>NOT(OR(ISBLANK(tblEmployee[[#This Row],[EndDate]]),tblEmployee[[#This Row],[EndDate]]-tblEmployee[[#This Row],[StartDate]]&gt;90))</f>
        <v>0</v>
      </c>
    </row>
    <row r="1573" spans="1:5" x14ac:dyDescent="0.3">
      <c r="A1573">
        <v>10228</v>
      </c>
      <c r="B1573" s="1">
        <v>38562</v>
      </c>
      <c r="C1573" s="1"/>
      <c r="E1573" s="6" t="b">
        <f>NOT(OR(ISBLANK(tblEmployee[[#This Row],[EndDate]]),tblEmployee[[#This Row],[EndDate]]-tblEmployee[[#This Row],[StartDate]]&gt;90))</f>
        <v>0</v>
      </c>
    </row>
    <row r="1574" spans="1:5" x14ac:dyDescent="0.3">
      <c r="A1574">
        <v>10239</v>
      </c>
      <c r="B1574" s="1">
        <v>38886</v>
      </c>
      <c r="C1574" s="1"/>
      <c r="E1574" s="6" t="b">
        <f>NOT(OR(ISBLANK(tblEmployee[[#This Row],[EndDate]]),tblEmployee[[#This Row],[EndDate]]-tblEmployee[[#This Row],[StartDate]]&gt;90))</f>
        <v>0</v>
      </c>
    </row>
    <row r="1575" spans="1:5" x14ac:dyDescent="0.3">
      <c r="A1575">
        <v>10250</v>
      </c>
      <c r="B1575" s="1">
        <v>38555</v>
      </c>
      <c r="C1575" s="1"/>
      <c r="E1575" s="6" t="b">
        <f>NOT(OR(ISBLANK(tblEmployee[[#This Row],[EndDate]]),tblEmployee[[#This Row],[EndDate]]-tblEmployee[[#This Row],[StartDate]]&gt;90))</f>
        <v>0</v>
      </c>
    </row>
    <row r="1576" spans="1:5" x14ac:dyDescent="0.3">
      <c r="A1576">
        <v>10261</v>
      </c>
      <c r="B1576" s="1">
        <v>39255</v>
      </c>
      <c r="C1576" s="1">
        <v>41011</v>
      </c>
      <c r="D1576" t="s">
        <v>56</v>
      </c>
      <c r="E1576" s="6" t="b">
        <f>NOT(OR(ISBLANK(tblEmployee[[#This Row],[EndDate]]),tblEmployee[[#This Row],[EndDate]]-tblEmployee[[#This Row],[StartDate]]&gt;90))</f>
        <v>0</v>
      </c>
    </row>
    <row r="1577" spans="1:5" x14ac:dyDescent="0.3">
      <c r="A1577">
        <v>10272</v>
      </c>
      <c r="B1577" s="1">
        <v>41755</v>
      </c>
      <c r="C1577" s="1"/>
      <c r="E1577" s="6" t="b">
        <f>NOT(OR(ISBLANK(tblEmployee[[#This Row],[EndDate]]),tblEmployee[[#This Row],[EndDate]]-tblEmployee[[#This Row],[StartDate]]&gt;90))</f>
        <v>0</v>
      </c>
    </row>
    <row r="1578" spans="1:5" x14ac:dyDescent="0.3">
      <c r="A1578">
        <v>10283</v>
      </c>
      <c r="B1578" s="1">
        <v>40684</v>
      </c>
      <c r="C1578" s="1"/>
      <c r="E1578" s="6" t="b">
        <f>NOT(OR(ISBLANK(tblEmployee[[#This Row],[EndDate]]),tblEmployee[[#This Row],[EndDate]]-tblEmployee[[#This Row],[StartDate]]&gt;90))</f>
        <v>0</v>
      </c>
    </row>
    <row r="1579" spans="1:5" x14ac:dyDescent="0.3">
      <c r="B1579" s="1"/>
      <c r="C1579" s="1"/>
      <c r="E1579" s="6"/>
    </row>
    <row r="1580" spans="1:5" x14ac:dyDescent="0.3">
      <c r="B1580" s="1"/>
      <c r="C1580" s="1"/>
      <c r="E1580" s="6"/>
    </row>
    <row r="1581" spans="1:5" x14ac:dyDescent="0.3">
      <c r="B1581" s="1"/>
      <c r="C1581" s="1"/>
      <c r="E1581" s="6"/>
    </row>
    <row r="1582" spans="1:5" x14ac:dyDescent="0.3">
      <c r="B1582" s="1"/>
      <c r="C1582" s="1"/>
      <c r="E1582" s="6"/>
    </row>
  </sheetData>
  <sortState xmlns:xlrd2="http://schemas.microsoft.com/office/spreadsheetml/2017/richdata2" ref="A2:D1552">
    <sortCondition ref="A2:A1552"/>
  </sortState>
  <phoneticPr fontId="2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7C6B-81F6-4600-820D-62843324D377}">
  <sheetPr codeName="Sheet4"/>
  <dimension ref="A1:I134"/>
  <sheetViews>
    <sheetView tabSelected="1" topLeftCell="A110" workbookViewId="0">
      <selection activeCell="F135" sqref="F135"/>
    </sheetView>
  </sheetViews>
  <sheetFormatPr defaultRowHeight="15" x14ac:dyDescent="0.3"/>
  <cols>
    <col min="1" max="1" width="18.625" customWidth="1"/>
    <col min="2" max="2" width="13.625" customWidth="1"/>
    <col min="3" max="4" width="10.625" customWidth="1"/>
    <col min="5" max="5" width="9.875" customWidth="1"/>
    <col min="7" max="7" width="12.5" customWidth="1"/>
  </cols>
  <sheetData>
    <row r="1" spans="1:9" x14ac:dyDescent="0.3">
      <c r="A1" t="s">
        <v>32</v>
      </c>
      <c r="B1" t="s">
        <v>33</v>
      </c>
      <c r="C1" t="s">
        <v>34</v>
      </c>
      <c r="D1" t="s">
        <v>35</v>
      </c>
      <c r="E1" t="s">
        <v>53</v>
      </c>
      <c r="F1" t="s">
        <v>54</v>
      </c>
      <c r="G1" t="s">
        <v>3</v>
      </c>
      <c r="H1" t="s">
        <v>60</v>
      </c>
      <c r="I1" t="s">
        <v>23</v>
      </c>
    </row>
    <row r="2" spans="1:9" x14ac:dyDescent="0.3">
      <c r="A2" t="s">
        <v>46</v>
      </c>
      <c r="B2" t="s">
        <v>51</v>
      </c>
      <c r="C2" s="1">
        <v>42746</v>
      </c>
      <c r="D2" s="1">
        <v>42757</v>
      </c>
      <c r="E2" t="s">
        <v>5</v>
      </c>
      <c r="F2" t="s">
        <v>7</v>
      </c>
      <c r="G2">
        <v>60</v>
      </c>
      <c r="H2" t="b" cm="1">
        <f t="array" ref="H2">YEAR(tblVacancy[[#This Row],[Filled]])=MAX(YEAR(tblVacancy[Filled]))</f>
        <v>0</v>
      </c>
      <c r="I2">
        <f>tblVacancy[[#This Row],[Filled]]-tblVacancy[[#This Row],[Vacant]]</f>
        <v>11</v>
      </c>
    </row>
    <row r="3" spans="1:9" x14ac:dyDescent="0.3">
      <c r="A3" t="s">
        <v>46</v>
      </c>
      <c r="B3" t="s">
        <v>51</v>
      </c>
      <c r="C3" s="1">
        <v>42742</v>
      </c>
      <c r="D3" s="1">
        <v>42763</v>
      </c>
      <c r="E3" t="s">
        <v>5</v>
      </c>
      <c r="F3" t="s">
        <v>8</v>
      </c>
      <c r="G3">
        <v>80</v>
      </c>
      <c r="H3" t="b" cm="1">
        <f t="array" ref="H3">YEAR(tblVacancy[[#This Row],[Filled]])=MAX(YEAR(tblVacancy[Filled]))</f>
        <v>0</v>
      </c>
      <c r="I3">
        <f>tblVacancy[[#This Row],[Filled]]-tblVacancy[[#This Row],[Vacant]]</f>
        <v>21</v>
      </c>
    </row>
    <row r="4" spans="1:9" x14ac:dyDescent="0.3">
      <c r="A4" t="s">
        <v>47</v>
      </c>
      <c r="B4" t="s">
        <v>50</v>
      </c>
      <c r="C4" s="1">
        <v>42739</v>
      </c>
      <c r="D4" s="1">
        <v>42767</v>
      </c>
      <c r="E4" t="s">
        <v>6</v>
      </c>
      <c r="F4" t="s">
        <v>8</v>
      </c>
      <c r="G4">
        <v>69</v>
      </c>
      <c r="H4" t="b" cm="1">
        <f t="array" ref="H4">YEAR(tblVacancy[[#This Row],[Filled]])=MAX(YEAR(tblVacancy[Filled]))</f>
        <v>0</v>
      </c>
      <c r="I4">
        <f>tblVacancy[[#This Row],[Filled]]-tblVacancy[[#This Row],[Vacant]]</f>
        <v>28</v>
      </c>
    </row>
    <row r="5" spans="1:9" x14ac:dyDescent="0.3">
      <c r="A5" t="s">
        <v>48</v>
      </c>
      <c r="B5" t="s">
        <v>50</v>
      </c>
      <c r="C5" s="1">
        <v>42810</v>
      </c>
      <c r="D5" s="1">
        <v>42838</v>
      </c>
      <c r="E5" t="s">
        <v>5</v>
      </c>
      <c r="F5" t="s">
        <v>8</v>
      </c>
      <c r="G5">
        <v>44</v>
      </c>
      <c r="H5" t="b" cm="1">
        <f t="array" ref="H5">YEAR(tblVacancy[[#This Row],[Filled]])=MAX(YEAR(tblVacancy[Filled]))</f>
        <v>0</v>
      </c>
      <c r="I5">
        <f>tblVacancy[[#This Row],[Filled]]-tblVacancy[[#This Row],[Vacant]]</f>
        <v>28</v>
      </c>
    </row>
    <row r="6" spans="1:9" x14ac:dyDescent="0.3">
      <c r="A6" t="s">
        <v>37</v>
      </c>
      <c r="B6" t="s">
        <v>49</v>
      </c>
      <c r="C6" s="1">
        <v>42849</v>
      </c>
      <c r="D6" s="1">
        <v>42868</v>
      </c>
      <c r="E6" t="s">
        <v>5</v>
      </c>
      <c r="F6" t="s">
        <v>8</v>
      </c>
      <c r="G6">
        <v>14</v>
      </c>
      <c r="H6" t="b" cm="1">
        <f t="array" ref="H6">YEAR(tblVacancy[[#This Row],[Filled]])=MAX(YEAR(tblVacancy[Filled]))</f>
        <v>0</v>
      </c>
      <c r="I6">
        <f>tblVacancy[[#This Row],[Filled]]-tblVacancy[[#This Row],[Vacant]]</f>
        <v>19</v>
      </c>
    </row>
    <row r="7" spans="1:9" x14ac:dyDescent="0.3">
      <c r="A7" t="s">
        <v>46</v>
      </c>
      <c r="B7" t="s">
        <v>51</v>
      </c>
      <c r="C7" s="1">
        <v>42840</v>
      </c>
      <c r="D7" s="1">
        <v>42870</v>
      </c>
      <c r="E7" t="s">
        <v>5</v>
      </c>
      <c r="F7" t="s">
        <v>7</v>
      </c>
      <c r="G7">
        <v>74</v>
      </c>
      <c r="H7" t="b" cm="1">
        <f t="array" ref="H7">YEAR(tblVacancy[[#This Row],[Filled]])=MAX(YEAR(tblVacancy[Filled]))</f>
        <v>0</v>
      </c>
      <c r="I7">
        <f>tblVacancy[[#This Row],[Filled]]-tblVacancy[[#This Row],[Vacant]]</f>
        <v>30</v>
      </c>
    </row>
    <row r="8" spans="1:9" x14ac:dyDescent="0.3">
      <c r="A8" t="s">
        <v>46</v>
      </c>
      <c r="B8" t="s">
        <v>51</v>
      </c>
      <c r="C8" s="1">
        <v>42893</v>
      </c>
      <c r="D8" s="1">
        <v>42911</v>
      </c>
      <c r="E8" t="s">
        <v>6</v>
      </c>
      <c r="F8" t="s">
        <v>7</v>
      </c>
      <c r="G8">
        <v>66</v>
      </c>
      <c r="H8" t="b" cm="1">
        <f t="array" ref="H8">YEAR(tblVacancy[[#This Row],[Filled]])=MAX(YEAR(tblVacancy[Filled]))</f>
        <v>0</v>
      </c>
      <c r="I8">
        <f>tblVacancy[[#This Row],[Filled]]-tblVacancy[[#This Row],[Vacant]]</f>
        <v>18</v>
      </c>
    </row>
    <row r="9" spans="1:9" x14ac:dyDescent="0.3">
      <c r="A9" t="s">
        <v>46</v>
      </c>
      <c r="B9" t="s">
        <v>51</v>
      </c>
      <c r="C9" s="1">
        <v>42881</v>
      </c>
      <c r="D9" s="1">
        <v>42930</v>
      </c>
      <c r="E9" t="s">
        <v>6</v>
      </c>
      <c r="F9" t="s">
        <v>7</v>
      </c>
      <c r="G9">
        <v>66</v>
      </c>
      <c r="H9" t="b" cm="1">
        <f t="array" ref="H9">YEAR(tblVacancy[[#This Row],[Filled]])=MAX(YEAR(tblVacancy[Filled]))</f>
        <v>0</v>
      </c>
      <c r="I9">
        <f>tblVacancy[[#This Row],[Filled]]-tblVacancy[[#This Row],[Vacant]]</f>
        <v>49</v>
      </c>
    </row>
    <row r="10" spans="1:9" x14ac:dyDescent="0.3">
      <c r="A10" t="s">
        <v>46</v>
      </c>
      <c r="B10" t="s">
        <v>51</v>
      </c>
      <c r="C10" s="1">
        <v>42884</v>
      </c>
      <c r="D10" s="1">
        <v>42934</v>
      </c>
      <c r="E10" t="s">
        <v>6</v>
      </c>
      <c r="F10" t="s">
        <v>10</v>
      </c>
      <c r="G10">
        <v>69</v>
      </c>
      <c r="H10" t="b" cm="1">
        <f t="array" ref="H10">YEAR(tblVacancy[[#This Row],[Filled]])=MAX(YEAR(tblVacancy[Filled]))</f>
        <v>0</v>
      </c>
      <c r="I10">
        <f>tblVacancy[[#This Row],[Filled]]-tblVacancy[[#This Row],[Vacant]]</f>
        <v>50</v>
      </c>
    </row>
    <row r="11" spans="1:9" x14ac:dyDescent="0.3">
      <c r="A11" t="s">
        <v>47</v>
      </c>
      <c r="B11" t="s">
        <v>50</v>
      </c>
      <c r="C11" s="1">
        <v>42912</v>
      </c>
      <c r="D11" s="1">
        <v>42937</v>
      </c>
      <c r="E11" t="s">
        <v>6</v>
      </c>
      <c r="F11" t="s">
        <v>7</v>
      </c>
      <c r="G11">
        <v>64</v>
      </c>
      <c r="H11" t="b" cm="1">
        <f t="array" ref="H11">YEAR(tblVacancy[[#This Row],[Filled]])=MAX(YEAR(tblVacancy[Filled]))</f>
        <v>0</v>
      </c>
      <c r="I11">
        <f>tblVacancy[[#This Row],[Filled]]-tblVacancy[[#This Row],[Vacant]]</f>
        <v>25</v>
      </c>
    </row>
    <row r="12" spans="1:9" x14ac:dyDescent="0.3">
      <c r="A12" t="s">
        <v>46</v>
      </c>
      <c r="B12" t="s">
        <v>51</v>
      </c>
      <c r="C12" s="1">
        <v>42955</v>
      </c>
      <c r="D12" s="1">
        <v>42976</v>
      </c>
      <c r="E12" t="s">
        <v>5</v>
      </c>
      <c r="F12" t="s">
        <v>7</v>
      </c>
      <c r="G12">
        <v>65</v>
      </c>
      <c r="H12" t="b" cm="1">
        <f t="array" ref="H12">YEAR(tblVacancy[[#This Row],[Filled]])=MAX(YEAR(tblVacancy[Filled]))</f>
        <v>0</v>
      </c>
      <c r="I12">
        <f>tblVacancy[[#This Row],[Filled]]-tblVacancy[[#This Row],[Vacant]]</f>
        <v>21</v>
      </c>
    </row>
    <row r="13" spans="1:9" x14ac:dyDescent="0.3">
      <c r="A13" t="s">
        <v>47</v>
      </c>
      <c r="B13" t="s">
        <v>50</v>
      </c>
      <c r="C13" s="1">
        <v>42951</v>
      </c>
      <c r="D13" s="1">
        <v>42986</v>
      </c>
      <c r="E13" t="s">
        <v>5</v>
      </c>
      <c r="F13" t="s">
        <v>8</v>
      </c>
      <c r="G13">
        <v>65</v>
      </c>
      <c r="H13" t="b" cm="1">
        <f t="array" ref="H13">YEAR(tblVacancy[[#This Row],[Filled]])=MAX(YEAR(tblVacancy[Filled]))</f>
        <v>0</v>
      </c>
      <c r="I13">
        <f>tblVacancy[[#This Row],[Filled]]-tblVacancy[[#This Row],[Vacant]]</f>
        <v>35</v>
      </c>
    </row>
    <row r="14" spans="1:9" x14ac:dyDescent="0.3">
      <c r="A14" t="s">
        <v>36</v>
      </c>
      <c r="B14" t="s">
        <v>49</v>
      </c>
      <c r="C14" s="1">
        <v>42972</v>
      </c>
      <c r="D14" s="1">
        <v>43012</v>
      </c>
      <c r="E14" t="s">
        <v>6</v>
      </c>
      <c r="F14" t="s">
        <v>7</v>
      </c>
      <c r="G14">
        <v>22</v>
      </c>
      <c r="H14" t="b" cm="1">
        <f t="array" ref="H14">YEAR(tblVacancy[[#This Row],[Filled]])=MAX(YEAR(tblVacancy[Filled]))</f>
        <v>0</v>
      </c>
      <c r="I14">
        <f>tblVacancy[[#This Row],[Filled]]-tblVacancy[[#This Row],[Vacant]]</f>
        <v>40</v>
      </c>
    </row>
    <row r="15" spans="1:9" x14ac:dyDescent="0.3">
      <c r="A15" t="s">
        <v>40</v>
      </c>
      <c r="B15" t="s">
        <v>50</v>
      </c>
      <c r="C15" s="1">
        <v>43005</v>
      </c>
      <c r="D15" s="1">
        <v>43028</v>
      </c>
      <c r="E15" t="s">
        <v>6</v>
      </c>
      <c r="F15" t="s">
        <v>7</v>
      </c>
      <c r="G15">
        <v>48</v>
      </c>
      <c r="H15" t="b" cm="1">
        <f t="array" ref="H15">YEAR(tblVacancy[[#This Row],[Filled]])=MAX(YEAR(tblVacancy[Filled]))</f>
        <v>0</v>
      </c>
      <c r="I15">
        <f>tblVacancy[[#This Row],[Filled]]-tblVacancy[[#This Row],[Vacant]]</f>
        <v>23</v>
      </c>
    </row>
    <row r="16" spans="1:9" x14ac:dyDescent="0.3">
      <c r="A16" t="s">
        <v>47</v>
      </c>
      <c r="B16" t="s">
        <v>50</v>
      </c>
      <c r="C16" s="1">
        <v>43005</v>
      </c>
      <c r="D16" s="1">
        <v>43035</v>
      </c>
      <c r="E16" t="s">
        <v>6</v>
      </c>
      <c r="F16" t="s">
        <v>11</v>
      </c>
      <c r="G16">
        <v>58</v>
      </c>
      <c r="H16" t="b" cm="1">
        <f t="array" ref="H16">YEAR(tblVacancy[[#This Row],[Filled]])=MAX(YEAR(tblVacancy[Filled]))</f>
        <v>0</v>
      </c>
      <c r="I16">
        <f>tblVacancy[[#This Row],[Filled]]-tblVacancy[[#This Row],[Vacant]]</f>
        <v>30</v>
      </c>
    </row>
    <row r="17" spans="1:9" x14ac:dyDescent="0.3">
      <c r="A17" t="s">
        <v>46</v>
      </c>
      <c r="B17" t="s">
        <v>51</v>
      </c>
      <c r="C17" s="1">
        <v>43026</v>
      </c>
      <c r="D17" s="1">
        <v>43050</v>
      </c>
      <c r="E17" t="s">
        <v>6</v>
      </c>
      <c r="F17" t="s">
        <v>8</v>
      </c>
      <c r="G17">
        <v>70</v>
      </c>
      <c r="H17" t="b" cm="1">
        <f t="array" ref="H17">YEAR(tblVacancy[[#This Row],[Filled]])=MAX(YEAR(tblVacancy[Filled]))</f>
        <v>0</v>
      </c>
      <c r="I17">
        <f>tblVacancy[[#This Row],[Filled]]-tblVacancy[[#This Row],[Vacant]]</f>
        <v>24</v>
      </c>
    </row>
    <row r="18" spans="1:9" x14ac:dyDescent="0.3">
      <c r="A18" t="s">
        <v>46</v>
      </c>
      <c r="B18" t="s">
        <v>51</v>
      </c>
      <c r="C18" s="1">
        <v>43047</v>
      </c>
      <c r="D18" s="1">
        <v>43075</v>
      </c>
      <c r="E18" t="s">
        <v>5</v>
      </c>
      <c r="F18" t="s">
        <v>9</v>
      </c>
      <c r="G18">
        <v>73</v>
      </c>
      <c r="H18" t="b" cm="1">
        <f t="array" ref="H18">YEAR(tblVacancy[[#This Row],[Filled]])=MAX(YEAR(tblVacancy[Filled]))</f>
        <v>0</v>
      </c>
      <c r="I18">
        <f>tblVacancy[[#This Row],[Filled]]-tblVacancy[[#This Row],[Vacant]]</f>
        <v>28</v>
      </c>
    </row>
    <row r="19" spans="1:9" x14ac:dyDescent="0.3">
      <c r="A19" t="s">
        <v>46</v>
      </c>
      <c r="B19" t="s">
        <v>51</v>
      </c>
      <c r="C19" s="1">
        <v>43036</v>
      </c>
      <c r="D19" s="1">
        <v>43077</v>
      </c>
      <c r="E19" t="s">
        <v>5</v>
      </c>
      <c r="F19" t="s">
        <v>7</v>
      </c>
      <c r="G19">
        <v>68</v>
      </c>
      <c r="H19" t="b" cm="1">
        <f t="array" ref="H19">YEAR(tblVacancy[[#This Row],[Filled]])=MAX(YEAR(tblVacancy[Filled]))</f>
        <v>0</v>
      </c>
      <c r="I19">
        <f>tblVacancy[[#This Row],[Filled]]-tblVacancy[[#This Row],[Vacant]]</f>
        <v>41</v>
      </c>
    </row>
    <row r="20" spans="1:9" x14ac:dyDescent="0.3">
      <c r="A20" t="s">
        <v>46</v>
      </c>
      <c r="B20" t="s">
        <v>51</v>
      </c>
      <c r="C20" s="1">
        <v>43041</v>
      </c>
      <c r="D20" s="1">
        <v>43084</v>
      </c>
      <c r="E20" t="s">
        <v>6</v>
      </c>
      <c r="F20" t="s">
        <v>11</v>
      </c>
      <c r="G20">
        <v>78</v>
      </c>
      <c r="H20" t="b" cm="1">
        <f t="array" ref="H20">YEAR(tblVacancy[[#This Row],[Filled]])=MAX(YEAR(tblVacancy[Filled]))</f>
        <v>0</v>
      </c>
      <c r="I20">
        <f>tblVacancy[[#This Row],[Filled]]-tblVacancy[[#This Row],[Vacant]]</f>
        <v>43</v>
      </c>
    </row>
    <row r="21" spans="1:9" x14ac:dyDescent="0.3">
      <c r="A21" t="s">
        <v>46</v>
      </c>
      <c r="B21" t="s">
        <v>51</v>
      </c>
      <c r="C21" s="1">
        <v>43066</v>
      </c>
      <c r="D21" s="1">
        <v>43107</v>
      </c>
      <c r="E21" t="s">
        <v>5</v>
      </c>
      <c r="F21" t="s">
        <v>7</v>
      </c>
      <c r="G21">
        <v>65</v>
      </c>
      <c r="H21" t="b" cm="1">
        <f t="array" ref="H21">YEAR(tblVacancy[[#This Row],[Filled]])=MAX(YEAR(tblVacancy[Filled]))</f>
        <v>0</v>
      </c>
      <c r="I21">
        <f>tblVacancy[[#This Row],[Filled]]-tblVacancy[[#This Row],[Vacant]]</f>
        <v>41</v>
      </c>
    </row>
    <row r="22" spans="1:9" x14ac:dyDescent="0.3">
      <c r="A22" t="s">
        <v>40</v>
      </c>
      <c r="B22" t="s">
        <v>50</v>
      </c>
      <c r="C22" s="1">
        <v>43099</v>
      </c>
      <c r="D22" s="1">
        <v>43118</v>
      </c>
      <c r="E22" t="s">
        <v>5</v>
      </c>
      <c r="F22" t="s">
        <v>8</v>
      </c>
      <c r="G22">
        <v>55</v>
      </c>
      <c r="H22" t="b" cm="1">
        <f t="array" ref="H22">YEAR(tblVacancy[[#This Row],[Filled]])=MAX(YEAR(tblVacancy[Filled]))</f>
        <v>0</v>
      </c>
      <c r="I22">
        <f>tblVacancy[[#This Row],[Filled]]-tblVacancy[[#This Row],[Vacant]]</f>
        <v>19</v>
      </c>
    </row>
    <row r="23" spans="1:9" x14ac:dyDescent="0.3">
      <c r="A23" t="s">
        <v>45</v>
      </c>
      <c r="B23" t="s">
        <v>51</v>
      </c>
      <c r="C23" s="1">
        <v>43105</v>
      </c>
      <c r="D23" s="1">
        <v>43136</v>
      </c>
      <c r="E23" t="s">
        <v>5</v>
      </c>
      <c r="F23" t="s">
        <v>7</v>
      </c>
      <c r="G23">
        <v>59</v>
      </c>
      <c r="H23" t="b" cm="1">
        <f t="array" ref="H23">YEAR(tblVacancy[[#This Row],[Filled]])=MAX(YEAR(tblVacancy[Filled]))</f>
        <v>0</v>
      </c>
      <c r="I23">
        <f>tblVacancy[[#This Row],[Filled]]-tblVacancy[[#This Row],[Vacant]]</f>
        <v>31</v>
      </c>
    </row>
    <row r="24" spans="1:9" x14ac:dyDescent="0.3">
      <c r="A24" t="s">
        <v>46</v>
      </c>
      <c r="B24" t="s">
        <v>51</v>
      </c>
      <c r="C24" s="1">
        <v>43129</v>
      </c>
      <c r="D24" s="1">
        <v>43162</v>
      </c>
      <c r="E24" t="s">
        <v>5</v>
      </c>
      <c r="F24" t="s">
        <v>7</v>
      </c>
      <c r="G24">
        <v>61</v>
      </c>
      <c r="H24" t="b" cm="1">
        <f t="array" ref="H24">YEAR(tblVacancy[[#This Row],[Filled]])=MAX(YEAR(tblVacancy[Filled]))</f>
        <v>0</v>
      </c>
      <c r="I24">
        <f>tblVacancy[[#This Row],[Filled]]-tblVacancy[[#This Row],[Vacant]]</f>
        <v>33</v>
      </c>
    </row>
    <row r="25" spans="1:9" x14ac:dyDescent="0.3">
      <c r="A25" t="s">
        <v>47</v>
      </c>
      <c r="B25" t="s">
        <v>50</v>
      </c>
      <c r="C25" s="1">
        <v>43163</v>
      </c>
      <c r="D25" s="1">
        <v>43190</v>
      </c>
      <c r="E25" t="s">
        <v>6</v>
      </c>
      <c r="F25" t="s">
        <v>7</v>
      </c>
      <c r="G25">
        <v>53</v>
      </c>
      <c r="H25" t="b" cm="1">
        <f t="array" ref="H25">YEAR(tblVacancy[[#This Row],[Filled]])=MAX(YEAR(tblVacancy[Filled]))</f>
        <v>0</v>
      </c>
      <c r="I25">
        <f>tblVacancy[[#This Row],[Filled]]-tblVacancy[[#This Row],[Vacant]]</f>
        <v>27</v>
      </c>
    </row>
    <row r="26" spans="1:9" x14ac:dyDescent="0.3">
      <c r="A26" t="s">
        <v>45</v>
      </c>
      <c r="B26" t="s">
        <v>51</v>
      </c>
      <c r="C26" s="1">
        <v>43175</v>
      </c>
      <c r="D26" s="1">
        <v>43201</v>
      </c>
      <c r="E26" t="s">
        <v>5</v>
      </c>
      <c r="F26" t="s">
        <v>7</v>
      </c>
      <c r="G26">
        <v>58</v>
      </c>
      <c r="H26" t="b" cm="1">
        <f t="array" ref="H26">YEAR(tblVacancy[[#This Row],[Filled]])=MAX(YEAR(tblVacancy[Filled]))</f>
        <v>0</v>
      </c>
      <c r="I26">
        <f>tblVacancy[[#This Row],[Filled]]-tblVacancy[[#This Row],[Vacant]]</f>
        <v>26</v>
      </c>
    </row>
    <row r="27" spans="1:9" x14ac:dyDescent="0.3">
      <c r="A27" t="s">
        <v>45</v>
      </c>
      <c r="B27" t="s">
        <v>51</v>
      </c>
      <c r="C27" s="1">
        <v>43223</v>
      </c>
      <c r="D27" s="1">
        <v>43240</v>
      </c>
      <c r="E27" t="s">
        <v>5</v>
      </c>
      <c r="F27" t="s">
        <v>7</v>
      </c>
      <c r="G27">
        <v>58</v>
      </c>
      <c r="H27" t="b" cm="1">
        <f t="array" ref="H27">YEAR(tblVacancy[[#This Row],[Filled]])=MAX(YEAR(tblVacancy[Filled]))</f>
        <v>0</v>
      </c>
      <c r="I27">
        <f>tblVacancy[[#This Row],[Filled]]-tblVacancy[[#This Row],[Vacant]]</f>
        <v>17</v>
      </c>
    </row>
    <row r="28" spans="1:9" x14ac:dyDescent="0.3">
      <c r="A28" t="s">
        <v>45</v>
      </c>
      <c r="B28" t="s">
        <v>51</v>
      </c>
      <c r="C28" s="1">
        <v>43227</v>
      </c>
      <c r="D28" s="1">
        <v>43251</v>
      </c>
      <c r="E28" t="s">
        <v>5</v>
      </c>
      <c r="F28" t="s">
        <v>7</v>
      </c>
      <c r="G28">
        <v>56</v>
      </c>
      <c r="H28" t="b" cm="1">
        <f t="array" ref="H28">YEAR(tblVacancy[[#This Row],[Filled]])=MAX(YEAR(tblVacancy[Filled]))</f>
        <v>0</v>
      </c>
      <c r="I28">
        <f>tblVacancy[[#This Row],[Filled]]-tblVacancy[[#This Row],[Vacant]]</f>
        <v>24</v>
      </c>
    </row>
    <row r="29" spans="1:9" x14ac:dyDescent="0.3">
      <c r="A29" t="s">
        <v>45</v>
      </c>
      <c r="B29" t="s">
        <v>51</v>
      </c>
      <c r="C29" s="1">
        <v>43231</v>
      </c>
      <c r="D29" s="1">
        <v>43258</v>
      </c>
      <c r="E29" t="s">
        <v>5</v>
      </c>
      <c r="F29" t="s">
        <v>8</v>
      </c>
      <c r="G29">
        <v>51</v>
      </c>
      <c r="H29" t="b" cm="1">
        <f t="array" ref="H29">YEAR(tblVacancy[[#This Row],[Filled]])=MAX(YEAR(tblVacancy[Filled]))</f>
        <v>0</v>
      </c>
      <c r="I29">
        <f>tblVacancy[[#This Row],[Filled]]-tblVacancy[[#This Row],[Vacant]]</f>
        <v>27</v>
      </c>
    </row>
    <row r="30" spans="1:9" x14ac:dyDescent="0.3">
      <c r="A30" t="s">
        <v>42</v>
      </c>
      <c r="B30" t="s">
        <v>50</v>
      </c>
      <c r="C30" s="1">
        <v>43231</v>
      </c>
      <c r="D30" s="1">
        <v>43263</v>
      </c>
      <c r="E30" t="s">
        <v>5</v>
      </c>
      <c r="F30" t="s">
        <v>7</v>
      </c>
      <c r="G30">
        <v>17</v>
      </c>
      <c r="H30" t="b" cm="1">
        <f t="array" ref="H30">YEAR(tblVacancy[[#This Row],[Filled]])=MAX(YEAR(tblVacancy[Filled]))</f>
        <v>0</v>
      </c>
      <c r="I30">
        <f>tblVacancy[[#This Row],[Filled]]-tblVacancy[[#This Row],[Vacant]]</f>
        <v>32</v>
      </c>
    </row>
    <row r="31" spans="1:9" x14ac:dyDescent="0.3">
      <c r="A31" t="s">
        <v>40</v>
      </c>
      <c r="B31" t="s">
        <v>50</v>
      </c>
      <c r="C31" s="1">
        <v>43266</v>
      </c>
      <c r="D31" s="1">
        <v>43285</v>
      </c>
      <c r="E31" t="s">
        <v>5</v>
      </c>
      <c r="F31" t="s">
        <v>10</v>
      </c>
      <c r="G31">
        <v>46</v>
      </c>
      <c r="H31" t="b" cm="1">
        <f t="array" ref="H31">YEAR(tblVacancy[[#This Row],[Filled]])=MAX(YEAR(tblVacancy[Filled]))</f>
        <v>0</v>
      </c>
      <c r="I31">
        <f>tblVacancy[[#This Row],[Filled]]-tblVacancy[[#This Row],[Vacant]]</f>
        <v>19</v>
      </c>
    </row>
    <row r="32" spans="1:9" x14ac:dyDescent="0.3">
      <c r="A32" t="s">
        <v>45</v>
      </c>
      <c r="B32" t="s">
        <v>51</v>
      </c>
      <c r="C32" s="1">
        <v>43265</v>
      </c>
      <c r="D32" s="1">
        <v>43306</v>
      </c>
      <c r="E32" t="s">
        <v>6</v>
      </c>
      <c r="F32" t="s">
        <v>9</v>
      </c>
      <c r="G32">
        <v>63</v>
      </c>
      <c r="H32" t="b" cm="1">
        <f t="array" ref="H32">YEAR(tblVacancy[[#This Row],[Filled]])=MAX(YEAR(tblVacancy[Filled]))</f>
        <v>0</v>
      </c>
      <c r="I32">
        <f>tblVacancy[[#This Row],[Filled]]-tblVacancy[[#This Row],[Vacant]]</f>
        <v>41</v>
      </c>
    </row>
    <row r="33" spans="1:9" x14ac:dyDescent="0.3">
      <c r="A33" t="s">
        <v>39</v>
      </c>
      <c r="B33" t="s">
        <v>49</v>
      </c>
      <c r="C33" s="1">
        <v>43336</v>
      </c>
      <c r="D33" s="1">
        <v>43359</v>
      </c>
      <c r="E33" t="s">
        <v>6</v>
      </c>
      <c r="F33" t="s">
        <v>7</v>
      </c>
      <c r="G33">
        <v>22</v>
      </c>
      <c r="H33" t="b" cm="1">
        <f t="array" ref="H33">YEAR(tblVacancy[[#This Row],[Filled]])=MAX(YEAR(tblVacancy[Filled]))</f>
        <v>0</v>
      </c>
      <c r="I33">
        <f>tblVacancy[[#This Row],[Filled]]-tblVacancy[[#This Row],[Vacant]]</f>
        <v>23</v>
      </c>
    </row>
    <row r="34" spans="1:9" x14ac:dyDescent="0.3">
      <c r="A34" t="s">
        <v>39</v>
      </c>
      <c r="B34" t="s">
        <v>49</v>
      </c>
      <c r="C34" s="1">
        <v>43358</v>
      </c>
      <c r="D34" s="1">
        <v>43371</v>
      </c>
      <c r="E34" t="s">
        <v>6</v>
      </c>
      <c r="F34" t="s">
        <v>8</v>
      </c>
      <c r="G34">
        <v>24</v>
      </c>
      <c r="H34" t="b" cm="1">
        <f t="array" ref="H34">YEAR(tblVacancy[[#This Row],[Filled]])=MAX(YEAR(tblVacancy[Filled]))</f>
        <v>0</v>
      </c>
      <c r="I34">
        <f>tblVacancy[[#This Row],[Filled]]-tblVacancy[[#This Row],[Vacant]]</f>
        <v>13</v>
      </c>
    </row>
    <row r="35" spans="1:9" x14ac:dyDescent="0.3">
      <c r="A35" t="s">
        <v>45</v>
      </c>
      <c r="B35" t="s">
        <v>51</v>
      </c>
      <c r="C35" s="1">
        <v>43365</v>
      </c>
      <c r="D35" s="1">
        <v>43391</v>
      </c>
      <c r="E35" t="s">
        <v>6</v>
      </c>
      <c r="F35" t="s">
        <v>7</v>
      </c>
      <c r="G35">
        <v>54</v>
      </c>
      <c r="H35" t="b" cm="1">
        <f t="array" ref="H35">YEAR(tblVacancy[[#This Row],[Filled]])=MAX(YEAR(tblVacancy[Filled]))</f>
        <v>0</v>
      </c>
      <c r="I35">
        <f>tblVacancy[[#This Row],[Filled]]-tblVacancy[[#This Row],[Vacant]]</f>
        <v>26</v>
      </c>
    </row>
    <row r="36" spans="1:9" x14ac:dyDescent="0.3">
      <c r="A36" t="s">
        <v>46</v>
      </c>
      <c r="B36" t="s">
        <v>51</v>
      </c>
      <c r="C36" s="1">
        <v>43425</v>
      </c>
      <c r="D36" s="1">
        <v>43439</v>
      </c>
      <c r="E36" t="s">
        <v>5</v>
      </c>
      <c r="F36" t="s">
        <v>11</v>
      </c>
      <c r="G36">
        <v>68</v>
      </c>
      <c r="H36" t="b" cm="1">
        <f t="array" ref="H36">YEAR(tblVacancy[[#This Row],[Filled]])=MAX(YEAR(tblVacancy[Filled]))</f>
        <v>0</v>
      </c>
      <c r="I36">
        <f>tblVacancy[[#This Row],[Filled]]-tblVacancy[[#This Row],[Vacant]]</f>
        <v>14</v>
      </c>
    </row>
    <row r="37" spans="1:9" x14ac:dyDescent="0.3">
      <c r="A37" t="s">
        <v>36</v>
      </c>
      <c r="B37" t="s">
        <v>49</v>
      </c>
      <c r="C37" s="1">
        <v>43423</v>
      </c>
      <c r="D37" s="1">
        <v>43451</v>
      </c>
      <c r="E37" t="s">
        <v>5</v>
      </c>
      <c r="F37" t="s">
        <v>7</v>
      </c>
      <c r="G37">
        <v>25</v>
      </c>
      <c r="H37" t="b" cm="1">
        <f t="array" ref="H37">YEAR(tblVacancy[[#This Row],[Filled]])=MAX(YEAR(tblVacancy[Filled]))</f>
        <v>0</v>
      </c>
      <c r="I37">
        <f>tblVacancy[[#This Row],[Filled]]-tblVacancy[[#This Row],[Vacant]]</f>
        <v>28</v>
      </c>
    </row>
    <row r="38" spans="1:9" x14ac:dyDescent="0.3">
      <c r="A38" t="s">
        <v>46</v>
      </c>
      <c r="B38" t="s">
        <v>51</v>
      </c>
      <c r="C38" s="1">
        <v>43416</v>
      </c>
      <c r="D38" s="1">
        <v>43455</v>
      </c>
      <c r="E38" t="s">
        <v>6</v>
      </c>
      <c r="F38" t="s">
        <v>10</v>
      </c>
      <c r="G38">
        <v>76</v>
      </c>
      <c r="H38" t="b" cm="1">
        <f t="array" ref="H38">YEAR(tblVacancy[[#This Row],[Filled]])=MAX(YEAR(tblVacancy[Filled]))</f>
        <v>0</v>
      </c>
      <c r="I38">
        <f>tblVacancy[[#This Row],[Filled]]-tblVacancy[[#This Row],[Vacant]]</f>
        <v>39</v>
      </c>
    </row>
    <row r="39" spans="1:9" x14ac:dyDescent="0.3">
      <c r="A39" t="s">
        <v>41</v>
      </c>
      <c r="B39" t="s">
        <v>49</v>
      </c>
      <c r="C39" s="1">
        <v>43449</v>
      </c>
      <c r="D39" s="1">
        <v>43484</v>
      </c>
      <c r="E39" t="s">
        <v>5</v>
      </c>
      <c r="F39" t="s">
        <v>10</v>
      </c>
      <c r="G39">
        <v>23</v>
      </c>
      <c r="H39" t="b" cm="1">
        <f t="array" ref="H39">YEAR(tblVacancy[[#This Row],[Filled]])=MAX(YEAR(tblVacancy[Filled]))</f>
        <v>0</v>
      </c>
      <c r="I39">
        <f>tblVacancy[[#This Row],[Filled]]-tblVacancy[[#This Row],[Vacant]]</f>
        <v>35</v>
      </c>
    </row>
    <row r="40" spans="1:9" x14ac:dyDescent="0.3">
      <c r="A40" t="s">
        <v>46</v>
      </c>
      <c r="B40" t="s">
        <v>51</v>
      </c>
      <c r="C40" s="1">
        <v>43450</v>
      </c>
      <c r="D40" s="1">
        <v>43487</v>
      </c>
      <c r="E40" t="s">
        <v>5</v>
      </c>
      <c r="F40" t="s">
        <v>11</v>
      </c>
      <c r="G40">
        <v>79</v>
      </c>
      <c r="H40" t="b" cm="1">
        <f t="array" ref="H40">YEAR(tblVacancy[[#This Row],[Filled]])=MAX(YEAR(tblVacancy[Filled]))</f>
        <v>0</v>
      </c>
      <c r="I40">
        <f>tblVacancy[[#This Row],[Filled]]-tblVacancy[[#This Row],[Vacant]]</f>
        <v>37</v>
      </c>
    </row>
    <row r="41" spans="1:9" x14ac:dyDescent="0.3">
      <c r="A41" t="s">
        <v>45</v>
      </c>
      <c r="B41" t="s">
        <v>51</v>
      </c>
      <c r="C41" s="1">
        <v>43460</v>
      </c>
      <c r="D41" s="1">
        <v>43490</v>
      </c>
      <c r="E41" t="s">
        <v>5</v>
      </c>
      <c r="F41" t="s">
        <v>7</v>
      </c>
      <c r="G41">
        <v>56</v>
      </c>
      <c r="H41" t="b" cm="1">
        <f t="array" ref="H41">YEAR(tblVacancy[[#This Row],[Filled]])=MAX(YEAR(tblVacancy[Filled]))</f>
        <v>0</v>
      </c>
      <c r="I41">
        <f>tblVacancy[[#This Row],[Filled]]-tblVacancy[[#This Row],[Vacant]]</f>
        <v>30</v>
      </c>
    </row>
    <row r="42" spans="1:9" x14ac:dyDescent="0.3">
      <c r="A42" t="s">
        <v>44</v>
      </c>
      <c r="B42" t="s">
        <v>51</v>
      </c>
      <c r="C42" s="1">
        <v>43468</v>
      </c>
      <c r="D42" s="1">
        <v>43492</v>
      </c>
      <c r="E42" t="s">
        <v>6</v>
      </c>
      <c r="F42" t="s">
        <v>7</v>
      </c>
      <c r="G42">
        <v>27</v>
      </c>
      <c r="H42" t="b" cm="1">
        <f t="array" ref="H42">YEAR(tblVacancy[[#This Row],[Filled]])=MAX(YEAR(tblVacancy[Filled]))</f>
        <v>0</v>
      </c>
      <c r="I42">
        <f>tblVacancy[[#This Row],[Filled]]-tblVacancy[[#This Row],[Vacant]]</f>
        <v>24</v>
      </c>
    </row>
    <row r="43" spans="1:9" x14ac:dyDescent="0.3">
      <c r="A43" t="s">
        <v>40</v>
      </c>
      <c r="B43" t="s">
        <v>50</v>
      </c>
      <c r="C43" s="1">
        <v>43462</v>
      </c>
      <c r="D43" s="1">
        <v>43495</v>
      </c>
      <c r="E43" t="s">
        <v>6</v>
      </c>
      <c r="F43" t="s">
        <v>9</v>
      </c>
      <c r="G43">
        <v>58</v>
      </c>
      <c r="H43" t="b" cm="1">
        <f t="array" ref="H43">YEAR(tblVacancy[[#This Row],[Filled]])=MAX(YEAR(tblVacancy[Filled]))</f>
        <v>0</v>
      </c>
      <c r="I43">
        <f>tblVacancy[[#This Row],[Filled]]-tblVacancy[[#This Row],[Vacant]]</f>
        <v>33</v>
      </c>
    </row>
    <row r="44" spans="1:9" x14ac:dyDescent="0.3">
      <c r="A44" t="s">
        <v>47</v>
      </c>
      <c r="B44" t="s">
        <v>50</v>
      </c>
      <c r="C44" s="1">
        <v>43491</v>
      </c>
      <c r="D44" s="1">
        <v>43514</v>
      </c>
      <c r="E44" t="s">
        <v>5</v>
      </c>
      <c r="F44" t="s">
        <v>7</v>
      </c>
      <c r="G44">
        <v>52</v>
      </c>
      <c r="H44" t="b" cm="1">
        <f t="array" ref="H44">YEAR(tblVacancy[[#This Row],[Filled]])=MAX(YEAR(tblVacancy[Filled]))</f>
        <v>0</v>
      </c>
      <c r="I44">
        <f>tblVacancy[[#This Row],[Filled]]-tblVacancy[[#This Row],[Vacant]]</f>
        <v>23</v>
      </c>
    </row>
    <row r="45" spans="1:9" x14ac:dyDescent="0.3">
      <c r="A45" t="s">
        <v>46</v>
      </c>
      <c r="B45" t="s">
        <v>51</v>
      </c>
      <c r="C45" s="1">
        <v>43482</v>
      </c>
      <c r="D45" s="1">
        <v>43516</v>
      </c>
      <c r="E45" t="s">
        <v>5</v>
      </c>
      <c r="F45" t="s">
        <v>7</v>
      </c>
      <c r="G45">
        <v>73</v>
      </c>
      <c r="H45" t="b" cm="1">
        <f t="array" ref="H45">YEAR(tblVacancy[[#This Row],[Filled]])=MAX(YEAR(tblVacancy[Filled]))</f>
        <v>0</v>
      </c>
      <c r="I45">
        <f>tblVacancy[[#This Row],[Filled]]-tblVacancy[[#This Row],[Vacant]]</f>
        <v>34</v>
      </c>
    </row>
    <row r="46" spans="1:9" x14ac:dyDescent="0.3">
      <c r="A46" t="s">
        <v>47</v>
      </c>
      <c r="B46" t="s">
        <v>50</v>
      </c>
      <c r="C46" s="1">
        <v>43526</v>
      </c>
      <c r="D46" s="1">
        <v>43544</v>
      </c>
      <c r="E46" t="s">
        <v>5</v>
      </c>
      <c r="F46" t="s">
        <v>7</v>
      </c>
      <c r="G46">
        <v>62</v>
      </c>
      <c r="H46" t="b" cm="1">
        <f t="array" ref="H46">YEAR(tblVacancy[[#This Row],[Filled]])=MAX(YEAR(tblVacancy[Filled]))</f>
        <v>0</v>
      </c>
      <c r="I46">
        <f>tblVacancy[[#This Row],[Filled]]-tblVacancy[[#This Row],[Vacant]]</f>
        <v>18</v>
      </c>
    </row>
    <row r="47" spans="1:9" x14ac:dyDescent="0.3">
      <c r="A47" t="s">
        <v>47</v>
      </c>
      <c r="B47" t="s">
        <v>50</v>
      </c>
      <c r="C47" s="1">
        <v>43582</v>
      </c>
      <c r="D47" s="1">
        <v>43604</v>
      </c>
      <c r="E47" t="s">
        <v>5</v>
      </c>
      <c r="F47" t="s">
        <v>7</v>
      </c>
      <c r="G47">
        <v>68</v>
      </c>
      <c r="H47" t="b" cm="1">
        <f t="array" ref="H47">YEAR(tblVacancy[[#This Row],[Filled]])=MAX(YEAR(tblVacancy[Filled]))</f>
        <v>0</v>
      </c>
      <c r="I47">
        <f>tblVacancy[[#This Row],[Filled]]-tblVacancy[[#This Row],[Vacant]]</f>
        <v>22</v>
      </c>
    </row>
    <row r="48" spans="1:9" x14ac:dyDescent="0.3">
      <c r="A48" t="s">
        <v>45</v>
      </c>
      <c r="B48" t="s">
        <v>51</v>
      </c>
      <c r="C48" s="1">
        <v>43559</v>
      </c>
      <c r="D48" s="1">
        <v>43611</v>
      </c>
      <c r="E48" t="s">
        <v>6</v>
      </c>
      <c r="F48" t="s">
        <v>11</v>
      </c>
      <c r="G48">
        <v>56</v>
      </c>
      <c r="H48" t="b" cm="1">
        <f t="array" ref="H48">YEAR(tblVacancy[[#This Row],[Filled]])=MAX(YEAR(tblVacancy[Filled]))</f>
        <v>0</v>
      </c>
      <c r="I48">
        <f>tblVacancy[[#This Row],[Filled]]-tblVacancy[[#This Row],[Vacant]]</f>
        <v>52</v>
      </c>
    </row>
    <row r="49" spans="1:9" x14ac:dyDescent="0.3">
      <c r="A49" t="s">
        <v>45</v>
      </c>
      <c r="B49" t="s">
        <v>51</v>
      </c>
      <c r="C49" s="1">
        <v>43575</v>
      </c>
      <c r="D49" s="1">
        <v>43622</v>
      </c>
      <c r="E49" t="s">
        <v>5</v>
      </c>
      <c r="F49" t="s">
        <v>7</v>
      </c>
      <c r="G49">
        <v>62</v>
      </c>
      <c r="H49" t="b" cm="1">
        <f t="array" ref="H49">YEAR(tblVacancy[[#This Row],[Filled]])=MAX(YEAR(tblVacancy[Filled]))</f>
        <v>0</v>
      </c>
      <c r="I49">
        <f>tblVacancy[[#This Row],[Filled]]-tblVacancy[[#This Row],[Vacant]]</f>
        <v>47</v>
      </c>
    </row>
    <row r="50" spans="1:9" x14ac:dyDescent="0.3">
      <c r="A50" t="s">
        <v>47</v>
      </c>
      <c r="B50" t="s">
        <v>50</v>
      </c>
      <c r="C50" s="1">
        <v>43603</v>
      </c>
      <c r="D50" s="1">
        <v>43626</v>
      </c>
      <c r="E50" t="s">
        <v>6</v>
      </c>
      <c r="F50" t="s">
        <v>11</v>
      </c>
      <c r="G50">
        <v>68</v>
      </c>
      <c r="H50" t="b" cm="1">
        <f t="array" ref="H50">YEAR(tblVacancy[[#This Row],[Filled]])=MAX(YEAR(tblVacancy[Filled]))</f>
        <v>0</v>
      </c>
      <c r="I50">
        <f>tblVacancy[[#This Row],[Filled]]-tblVacancy[[#This Row],[Vacant]]</f>
        <v>23</v>
      </c>
    </row>
    <row r="51" spans="1:9" x14ac:dyDescent="0.3">
      <c r="A51" t="s">
        <v>45</v>
      </c>
      <c r="B51" t="s">
        <v>51</v>
      </c>
      <c r="C51" s="1">
        <v>43586</v>
      </c>
      <c r="D51" s="1">
        <v>43634</v>
      </c>
      <c r="E51" t="s">
        <v>6</v>
      </c>
      <c r="F51" t="s">
        <v>10</v>
      </c>
      <c r="G51">
        <v>50</v>
      </c>
      <c r="H51" t="b" cm="1">
        <f t="array" ref="H51">YEAR(tblVacancy[[#This Row],[Filled]])=MAX(YEAR(tblVacancy[Filled]))</f>
        <v>0</v>
      </c>
      <c r="I51">
        <f>tblVacancy[[#This Row],[Filled]]-tblVacancy[[#This Row],[Vacant]]</f>
        <v>48</v>
      </c>
    </row>
    <row r="52" spans="1:9" x14ac:dyDescent="0.3">
      <c r="A52" t="s">
        <v>45</v>
      </c>
      <c r="B52" t="s">
        <v>51</v>
      </c>
      <c r="C52" s="1">
        <v>43609</v>
      </c>
      <c r="D52" s="1">
        <v>43643</v>
      </c>
      <c r="E52" t="s">
        <v>5</v>
      </c>
      <c r="F52" t="s">
        <v>7</v>
      </c>
      <c r="G52">
        <v>53</v>
      </c>
      <c r="H52" t="b" cm="1">
        <f t="array" ref="H52">YEAR(tblVacancy[[#This Row],[Filled]])=MAX(YEAR(tblVacancy[Filled]))</f>
        <v>0</v>
      </c>
      <c r="I52">
        <f>tblVacancy[[#This Row],[Filled]]-tblVacancy[[#This Row],[Vacant]]</f>
        <v>34</v>
      </c>
    </row>
    <row r="53" spans="1:9" x14ac:dyDescent="0.3">
      <c r="A53" t="s">
        <v>45</v>
      </c>
      <c r="B53" t="s">
        <v>51</v>
      </c>
      <c r="C53" s="1">
        <v>43619</v>
      </c>
      <c r="D53" s="1">
        <v>43653</v>
      </c>
      <c r="E53" t="s">
        <v>5</v>
      </c>
      <c r="F53" t="s">
        <v>7</v>
      </c>
      <c r="G53">
        <v>59</v>
      </c>
      <c r="H53" t="b" cm="1">
        <f t="array" ref="H53">YEAR(tblVacancy[[#This Row],[Filled]])=MAX(YEAR(tblVacancy[Filled]))</f>
        <v>0</v>
      </c>
      <c r="I53">
        <f>tblVacancy[[#This Row],[Filled]]-tblVacancy[[#This Row],[Vacant]]</f>
        <v>34</v>
      </c>
    </row>
    <row r="54" spans="1:9" x14ac:dyDescent="0.3">
      <c r="A54" t="s">
        <v>38</v>
      </c>
      <c r="B54" t="s">
        <v>49</v>
      </c>
      <c r="C54" s="1">
        <v>43636</v>
      </c>
      <c r="D54" s="1">
        <v>43673</v>
      </c>
      <c r="E54" t="s">
        <v>6</v>
      </c>
      <c r="F54" t="s">
        <v>10</v>
      </c>
      <c r="G54">
        <v>17</v>
      </c>
      <c r="H54" t="b" cm="1">
        <f t="array" ref="H54">YEAR(tblVacancy[[#This Row],[Filled]])=MAX(YEAR(tblVacancy[Filled]))</f>
        <v>0</v>
      </c>
      <c r="I54">
        <f>tblVacancy[[#This Row],[Filled]]-tblVacancy[[#This Row],[Vacant]]</f>
        <v>37</v>
      </c>
    </row>
    <row r="55" spans="1:9" x14ac:dyDescent="0.3">
      <c r="A55" t="s">
        <v>40</v>
      </c>
      <c r="B55" t="s">
        <v>50</v>
      </c>
      <c r="C55" s="1">
        <v>43656</v>
      </c>
      <c r="D55" s="1">
        <v>43681</v>
      </c>
      <c r="E55" t="s">
        <v>6</v>
      </c>
      <c r="F55" t="s">
        <v>8</v>
      </c>
      <c r="G55">
        <v>50</v>
      </c>
      <c r="H55" t="b" cm="1">
        <f t="array" ref="H55">YEAR(tblVacancy[[#This Row],[Filled]])=MAX(YEAR(tblVacancy[Filled]))</f>
        <v>0</v>
      </c>
      <c r="I55">
        <f>tblVacancy[[#This Row],[Filled]]-tblVacancy[[#This Row],[Vacant]]</f>
        <v>25</v>
      </c>
    </row>
    <row r="56" spans="1:9" x14ac:dyDescent="0.3">
      <c r="A56" t="s">
        <v>47</v>
      </c>
      <c r="B56" t="s">
        <v>50</v>
      </c>
      <c r="C56" s="1">
        <v>43654</v>
      </c>
      <c r="D56" s="1">
        <v>43682</v>
      </c>
      <c r="E56" t="s">
        <v>6</v>
      </c>
      <c r="F56" t="s">
        <v>8</v>
      </c>
      <c r="G56">
        <v>55</v>
      </c>
      <c r="H56" t="b" cm="1">
        <f t="array" ref="H56">YEAR(tblVacancy[[#This Row],[Filled]])=MAX(YEAR(tblVacancy[Filled]))</f>
        <v>0</v>
      </c>
      <c r="I56">
        <f>tblVacancy[[#This Row],[Filled]]-tblVacancy[[#This Row],[Vacant]]</f>
        <v>28</v>
      </c>
    </row>
    <row r="57" spans="1:9" x14ac:dyDescent="0.3">
      <c r="A57" t="s">
        <v>47</v>
      </c>
      <c r="B57" t="s">
        <v>50</v>
      </c>
      <c r="C57" s="1">
        <v>43690</v>
      </c>
      <c r="D57" s="1">
        <v>43701</v>
      </c>
      <c r="E57" t="s">
        <v>6</v>
      </c>
      <c r="F57" t="s">
        <v>10</v>
      </c>
      <c r="G57">
        <v>66</v>
      </c>
      <c r="H57" t="b" cm="1">
        <f t="array" ref="H57">YEAR(tblVacancy[[#This Row],[Filled]])=MAX(YEAR(tblVacancy[Filled]))</f>
        <v>0</v>
      </c>
      <c r="I57">
        <f>tblVacancy[[#This Row],[Filled]]-tblVacancy[[#This Row],[Vacant]]</f>
        <v>11</v>
      </c>
    </row>
    <row r="58" spans="1:9" x14ac:dyDescent="0.3">
      <c r="A58" t="s">
        <v>45</v>
      </c>
      <c r="B58" t="s">
        <v>51</v>
      </c>
      <c r="C58" s="1">
        <v>43714</v>
      </c>
      <c r="D58" s="1">
        <v>43716</v>
      </c>
      <c r="E58" t="s">
        <v>6</v>
      </c>
      <c r="F58" t="s">
        <v>9</v>
      </c>
      <c r="G58">
        <v>52</v>
      </c>
      <c r="H58" t="b" cm="1">
        <f t="array" ref="H58">YEAR(tblVacancy[[#This Row],[Filled]])=MAX(YEAR(tblVacancy[Filled]))</f>
        <v>0</v>
      </c>
      <c r="I58">
        <f>tblVacancy[[#This Row],[Filled]]-tblVacancy[[#This Row],[Vacant]]</f>
        <v>2</v>
      </c>
    </row>
    <row r="59" spans="1:9" x14ac:dyDescent="0.3">
      <c r="A59" t="s">
        <v>46</v>
      </c>
      <c r="B59" t="s">
        <v>51</v>
      </c>
      <c r="C59" s="1">
        <v>43709</v>
      </c>
      <c r="D59" s="1">
        <v>43727</v>
      </c>
      <c r="E59" t="s">
        <v>5</v>
      </c>
      <c r="F59" t="s">
        <v>7</v>
      </c>
      <c r="G59">
        <v>66</v>
      </c>
      <c r="H59" t="b" cm="1">
        <f t="array" ref="H59">YEAR(tblVacancy[[#This Row],[Filled]])=MAX(YEAR(tblVacancy[Filled]))</f>
        <v>0</v>
      </c>
      <c r="I59">
        <f>tblVacancy[[#This Row],[Filled]]-tblVacancy[[#This Row],[Vacant]]</f>
        <v>18</v>
      </c>
    </row>
    <row r="60" spans="1:9" x14ac:dyDescent="0.3">
      <c r="A60" t="s">
        <v>47</v>
      </c>
      <c r="B60" t="s">
        <v>50</v>
      </c>
      <c r="C60" s="1">
        <v>43693</v>
      </c>
      <c r="D60" s="1">
        <v>43733</v>
      </c>
      <c r="E60" t="s">
        <v>5</v>
      </c>
      <c r="F60" t="s">
        <v>10</v>
      </c>
      <c r="G60">
        <v>61</v>
      </c>
      <c r="H60" t="b" cm="1">
        <f t="array" ref="H60">YEAR(tblVacancy[[#This Row],[Filled]])=MAX(YEAR(tblVacancy[Filled]))</f>
        <v>0</v>
      </c>
      <c r="I60">
        <f>tblVacancy[[#This Row],[Filled]]-tblVacancy[[#This Row],[Vacant]]</f>
        <v>40</v>
      </c>
    </row>
    <row r="61" spans="1:9" x14ac:dyDescent="0.3">
      <c r="A61" t="s">
        <v>47</v>
      </c>
      <c r="B61" t="s">
        <v>50</v>
      </c>
      <c r="C61" s="1">
        <v>43704</v>
      </c>
      <c r="D61" s="1">
        <v>43744</v>
      </c>
      <c r="E61" t="s">
        <v>6</v>
      </c>
      <c r="F61" t="s">
        <v>7</v>
      </c>
      <c r="G61">
        <v>59</v>
      </c>
      <c r="H61" t="b" cm="1">
        <f t="array" ref="H61">YEAR(tblVacancy[[#This Row],[Filled]])=MAX(YEAR(tblVacancy[Filled]))</f>
        <v>0</v>
      </c>
      <c r="I61">
        <f>tblVacancy[[#This Row],[Filled]]-tblVacancy[[#This Row],[Vacant]]</f>
        <v>40</v>
      </c>
    </row>
    <row r="62" spans="1:9" x14ac:dyDescent="0.3">
      <c r="A62" t="s">
        <v>45</v>
      </c>
      <c r="B62" t="s">
        <v>51</v>
      </c>
      <c r="C62" s="1">
        <v>43726</v>
      </c>
      <c r="D62" s="1">
        <v>43747</v>
      </c>
      <c r="E62" t="s">
        <v>5</v>
      </c>
      <c r="F62" t="s">
        <v>10</v>
      </c>
      <c r="G62">
        <v>61</v>
      </c>
      <c r="H62" t="b" cm="1">
        <f t="array" ref="H62">YEAR(tblVacancy[[#This Row],[Filled]])=MAX(YEAR(tblVacancy[Filled]))</f>
        <v>0</v>
      </c>
      <c r="I62">
        <f>tblVacancy[[#This Row],[Filled]]-tblVacancy[[#This Row],[Vacant]]</f>
        <v>21</v>
      </c>
    </row>
    <row r="63" spans="1:9" x14ac:dyDescent="0.3">
      <c r="A63" t="s">
        <v>46</v>
      </c>
      <c r="B63" t="s">
        <v>51</v>
      </c>
      <c r="C63" s="1">
        <v>43731</v>
      </c>
      <c r="D63" s="1">
        <v>43758</v>
      </c>
      <c r="E63" t="s">
        <v>6</v>
      </c>
      <c r="F63" t="s">
        <v>7</v>
      </c>
      <c r="G63">
        <v>67</v>
      </c>
      <c r="H63" t="b" cm="1">
        <f t="array" ref="H63">YEAR(tblVacancy[[#This Row],[Filled]])=MAX(YEAR(tblVacancy[Filled]))</f>
        <v>0</v>
      </c>
      <c r="I63">
        <f>tblVacancy[[#This Row],[Filled]]-tblVacancy[[#This Row],[Vacant]]</f>
        <v>27</v>
      </c>
    </row>
    <row r="64" spans="1:9" x14ac:dyDescent="0.3">
      <c r="A64" t="s">
        <v>36</v>
      </c>
      <c r="B64" t="s">
        <v>49</v>
      </c>
      <c r="C64" s="1">
        <v>43735</v>
      </c>
      <c r="D64" s="1">
        <v>43764</v>
      </c>
      <c r="E64" t="s">
        <v>5</v>
      </c>
      <c r="F64" t="s">
        <v>7</v>
      </c>
      <c r="G64">
        <v>25</v>
      </c>
      <c r="H64" t="b" cm="1">
        <f t="array" ref="H64">YEAR(tblVacancy[[#This Row],[Filled]])=MAX(YEAR(tblVacancy[Filled]))</f>
        <v>0</v>
      </c>
      <c r="I64">
        <f>tblVacancy[[#This Row],[Filled]]-tblVacancy[[#This Row],[Vacant]]</f>
        <v>29</v>
      </c>
    </row>
    <row r="65" spans="1:9" x14ac:dyDescent="0.3">
      <c r="A65" t="s">
        <v>40</v>
      </c>
      <c r="B65" t="s">
        <v>50</v>
      </c>
      <c r="C65" s="1">
        <v>43727</v>
      </c>
      <c r="D65" s="1">
        <v>43766</v>
      </c>
      <c r="E65" t="s">
        <v>5</v>
      </c>
      <c r="F65" t="s">
        <v>9</v>
      </c>
      <c r="G65">
        <v>52</v>
      </c>
      <c r="H65" t="b" cm="1">
        <f t="array" ref="H65">YEAR(tblVacancy[[#This Row],[Filled]])=MAX(YEAR(tblVacancy[Filled]))</f>
        <v>0</v>
      </c>
      <c r="I65">
        <f>tblVacancy[[#This Row],[Filled]]-tblVacancy[[#This Row],[Vacant]]</f>
        <v>39</v>
      </c>
    </row>
    <row r="66" spans="1:9" x14ac:dyDescent="0.3">
      <c r="A66" t="s">
        <v>45</v>
      </c>
      <c r="B66" t="s">
        <v>51</v>
      </c>
      <c r="C66" s="1">
        <v>43745</v>
      </c>
      <c r="D66" s="1">
        <v>43778</v>
      </c>
      <c r="E66" t="s">
        <v>5</v>
      </c>
      <c r="F66" t="s">
        <v>10</v>
      </c>
      <c r="G66">
        <v>61</v>
      </c>
      <c r="H66" t="b" cm="1">
        <f t="array" ref="H66">YEAR(tblVacancy[[#This Row],[Filled]])=MAX(YEAR(tblVacancy[Filled]))</f>
        <v>0</v>
      </c>
      <c r="I66">
        <f>tblVacancy[[#This Row],[Filled]]-tblVacancy[[#This Row],[Vacant]]</f>
        <v>33</v>
      </c>
    </row>
    <row r="67" spans="1:9" x14ac:dyDescent="0.3">
      <c r="A67" t="s">
        <v>46</v>
      </c>
      <c r="B67" t="s">
        <v>51</v>
      </c>
      <c r="C67" s="1">
        <v>43755</v>
      </c>
      <c r="D67" s="1">
        <v>43780</v>
      </c>
      <c r="E67" t="s">
        <v>5</v>
      </c>
      <c r="F67" t="s">
        <v>8</v>
      </c>
      <c r="G67">
        <v>78</v>
      </c>
      <c r="H67" t="b" cm="1">
        <f t="array" ref="H67">YEAR(tblVacancy[[#This Row],[Filled]])=MAX(YEAR(tblVacancy[Filled]))</f>
        <v>0</v>
      </c>
      <c r="I67">
        <f>tblVacancy[[#This Row],[Filled]]-tblVacancy[[#This Row],[Vacant]]</f>
        <v>25</v>
      </c>
    </row>
    <row r="68" spans="1:9" x14ac:dyDescent="0.3">
      <c r="A68" t="s">
        <v>46</v>
      </c>
      <c r="B68" t="s">
        <v>51</v>
      </c>
      <c r="C68" s="1">
        <v>43754</v>
      </c>
      <c r="D68" s="1">
        <v>43785</v>
      </c>
      <c r="E68" t="s">
        <v>5</v>
      </c>
      <c r="F68" t="s">
        <v>7</v>
      </c>
      <c r="G68">
        <v>78</v>
      </c>
      <c r="H68" t="b" cm="1">
        <f t="array" ref="H68">YEAR(tblVacancy[[#This Row],[Filled]])=MAX(YEAR(tblVacancy[Filled]))</f>
        <v>0</v>
      </c>
      <c r="I68">
        <f>tblVacancy[[#This Row],[Filled]]-tblVacancy[[#This Row],[Vacant]]</f>
        <v>31</v>
      </c>
    </row>
    <row r="69" spans="1:9" x14ac:dyDescent="0.3">
      <c r="A69" t="s">
        <v>45</v>
      </c>
      <c r="B69" t="s">
        <v>51</v>
      </c>
      <c r="C69" s="1">
        <v>43817</v>
      </c>
      <c r="D69" s="1">
        <v>43834</v>
      </c>
      <c r="E69" t="s">
        <v>5</v>
      </c>
      <c r="F69" t="s">
        <v>7</v>
      </c>
      <c r="G69">
        <v>54</v>
      </c>
      <c r="H69" t="b" cm="1">
        <f t="array" ref="H69">YEAR(tblVacancy[[#This Row],[Filled]])=MAX(YEAR(tblVacancy[Filled]))</f>
        <v>0</v>
      </c>
      <c r="I69">
        <f>tblVacancy[[#This Row],[Filled]]-tblVacancy[[#This Row],[Vacant]]</f>
        <v>17</v>
      </c>
    </row>
    <row r="70" spans="1:9" x14ac:dyDescent="0.3">
      <c r="A70" t="s">
        <v>45</v>
      </c>
      <c r="B70" t="s">
        <v>51</v>
      </c>
      <c r="C70" s="1">
        <v>43835</v>
      </c>
      <c r="D70" s="1">
        <v>43881</v>
      </c>
      <c r="E70" t="s">
        <v>5</v>
      </c>
      <c r="F70" t="s">
        <v>7</v>
      </c>
      <c r="G70">
        <v>57</v>
      </c>
      <c r="H70" t="b" cm="1">
        <f t="array" ref="H70">YEAR(tblVacancy[[#This Row],[Filled]])=MAX(YEAR(tblVacancy[Filled]))</f>
        <v>0</v>
      </c>
      <c r="I70">
        <f>tblVacancy[[#This Row],[Filled]]-tblVacancy[[#This Row],[Vacant]]</f>
        <v>46</v>
      </c>
    </row>
    <row r="71" spans="1:9" x14ac:dyDescent="0.3">
      <c r="A71" t="s">
        <v>46</v>
      </c>
      <c r="B71" t="s">
        <v>51</v>
      </c>
      <c r="C71" s="1">
        <v>43853</v>
      </c>
      <c r="D71" s="1">
        <v>43883</v>
      </c>
      <c r="E71" t="s">
        <v>5</v>
      </c>
      <c r="F71" t="s">
        <v>10</v>
      </c>
      <c r="G71">
        <v>65</v>
      </c>
      <c r="H71" t="b" cm="1">
        <f t="array" ref="H71">YEAR(tblVacancy[[#This Row],[Filled]])=MAX(YEAR(tblVacancy[Filled]))</f>
        <v>0</v>
      </c>
      <c r="I71">
        <f>tblVacancy[[#This Row],[Filled]]-tblVacancy[[#This Row],[Vacant]]</f>
        <v>30</v>
      </c>
    </row>
    <row r="72" spans="1:9" x14ac:dyDescent="0.3">
      <c r="A72" t="s">
        <v>45</v>
      </c>
      <c r="B72" t="s">
        <v>51</v>
      </c>
      <c r="C72" s="1">
        <v>43856</v>
      </c>
      <c r="D72" s="1">
        <v>43883</v>
      </c>
      <c r="E72" t="s">
        <v>5</v>
      </c>
      <c r="F72" t="s">
        <v>7</v>
      </c>
      <c r="G72">
        <v>59</v>
      </c>
      <c r="H72" t="b" cm="1">
        <f t="array" ref="H72">YEAR(tblVacancy[[#This Row],[Filled]])=MAX(YEAR(tblVacancy[Filled]))</f>
        <v>0</v>
      </c>
      <c r="I72">
        <f>tblVacancy[[#This Row],[Filled]]-tblVacancy[[#This Row],[Vacant]]</f>
        <v>27</v>
      </c>
    </row>
    <row r="73" spans="1:9" x14ac:dyDescent="0.3">
      <c r="A73" t="s">
        <v>47</v>
      </c>
      <c r="B73" t="s">
        <v>50</v>
      </c>
      <c r="C73" s="1">
        <v>43878</v>
      </c>
      <c r="D73" s="1">
        <v>43894</v>
      </c>
      <c r="E73" t="s">
        <v>5</v>
      </c>
      <c r="F73" t="s">
        <v>10</v>
      </c>
      <c r="G73">
        <v>67</v>
      </c>
      <c r="H73" t="b" cm="1">
        <f t="array" ref="H73">YEAR(tblVacancy[[#This Row],[Filled]])=MAX(YEAR(tblVacancy[Filled]))</f>
        <v>0</v>
      </c>
      <c r="I73">
        <f>tblVacancy[[#This Row],[Filled]]-tblVacancy[[#This Row],[Vacant]]</f>
        <v>16</v>
      </c>
    </row>
    <row r="74" spans="1:9" x14ac:dyDescent="0.3">
      <c r="A74" t="s">
        <v>46</v>
      </c>
      <c r="B74" t="s">
        <v>51</v>
      </c>
      <c r="C74" s="1">
        <v>43899</v>
      </c>
      <c r="D74" s="1">
        <v>43912</v>
      </c>
      <c r="E74" t="s">
        <v>5</v>
      </c>
      <c r="F74" t="s">
        <v>8</v>
      </c>
      <c r="G74">
        <v>74</v>
      </c>
      <c r="H74" t="b" cm="1">
        <f t="array" ref="H74">YEAR(tblVacancy[[#This Row],[Filled]])=MAX(YEAR(tblVacancy[Filled]))</f>
        <v>0</v>
      </c>
      <c r="I74">
        <f>tblVacancy[[#This Row],[Filled]]-tblVacancy[[#This Row],[Vacant]]</f>
        <v>13</v>
      </c>
    </row>
    <row r="75" spans="1:9" x14ac:dyDescent="0.3">
      <c r="A75" t="s">
        <v>45</v>
      </c>
      <c r="B75" t="s">
        <v>51</v>
      </c>
      <c r="C75" s="1">
        <v>43899</v>
      </c>
      <c r="D75" s="1">
        <v>43924</v>
      </c>
      <c r="E75" t="s">
        <v>6</v>
      </c>
      <c r="F75" t="s">
        <v>7</v>
      </c>
      <c r="G75">
        <v>59</v>
      </c>
      <c r="H75" t="b" cm="1">
        <f t="array" ref="H75">YEAR(tblVacancy[[#This Row],[Filled]])=MAX(YEAR(tblVacancy[Filled]))</f>
        <v>0</v>
      </c>
      <c r="I75">
        <f>tblVacancy[[#This Row],[Filled]]-tblVacancy[[#This Row],[Vacant]]</f>
        <v>25</v>
      </c>
    </row>
    <row r="76" spans="1:9" x14ac:dyDescent="0.3">
      <c r="A76" t="s">
        <v>45</v>
      </c>
      <c r="B76" t="s">
        <v>51</v>
      </c>
      <c r="C76" s="1">
        <v>43871</v>
      </c>
      <c r="D76" s="1">
        <v>43925</v>
      </c>
      <c r="E76" t="s">
        <v>5</v>
      </c>
      <c r="F76" t="s">
        <v>7</v>
      </c>
      <c r="G76">
        <v>58</v>
      </c>
      <c r="H76" t="b" cm="1">
        <f t="array" ref="H76">YEAR(tblVacancy[[#This Row],[Filled]])=MAX(YEAR(tblVacancy[Filled]))</f>
        <v>0</v>
      </c>
      <c r="I76">
        <f>tblVacancy[[#This Row],[Filled]]-tblVacancy[[#This Row],[Vacant]]</f>
        <v>54</v>
      </c>
    </row>
    <row r="77" spans="1:9" x14ac:dyDescent="0.3">
      <c r="A77" t="s">
        <v>47</v>
      </c>
      <c r="B77" t="s">
        <v>50</v>
      </c>
      <c r="C77" s="1">
        <v>43934</v>
      </c>
      <c r="D77" s="1">
        <v>43969</v>
      </c>
      <c r="E77" t="s">
        <v>6</v>
      </c>
      <c r="F77" t="s">
        <v>7</v>
      </c>
      <c r="G77">
        <v>62</v>
      </c>
      <c r="H77" t="b" cm="1">
        <f t="array" ref="H77">YEAR(tblVacancy[[#This Row],[Filled]])=MAX(YEAR(tblVacancy[Filled]))</f>
        <v>0</v>
      </c>
      <c r="I77">
        <f>tblVacancy[[#This Row],[Filled]]-tblVacancy[[#This Row],[Vacant]]</f>
        <v>35</v>
      </c>
    </row>
    <row r="78" spans="1:9" x14ac:dyDescent="0.3">
      <c r="A78" t="s">
        <v>46</v>
      </c>
      <c r="B78" t="s">
        <v>51</v>
      </c>
      <c r="C78" s="1">
        <v>43954</v>
      </c>
      <c r="D78" s="1">
        <v>43989</v>
      </c>
      <c r="E78" t="s">
        <v>5</v>
      </c>
      <c r="F78" t="s">
        <v>9</v>
      </c>
      <c r="G78">
        <v>67</v>
      </c>
      <c r="H78" t="b" cm="1">
        <f t="array" ref="H78">YEAR(tblVacancy[[#This Row],[Filled]])=MAX(YEAR(tblVacancy[Filled]))</f>
        <v>0</v>
      </c>
      <c r="I78">
        <f>tblVacancy[[#This Row],[Filled]]-tblVacancy[[#This Row],[Vacant]]</f>
        <v>35</v>
      </c>
    </row>
    <row r="79" spans="1:9" x14ac:dyDescent="0.3">
      <c r="A79" t="s">
        <v>39</v>
      </c>
      <c r="B79" t="s">
        <v>49</v>
      </c>
      <c r="C79" s="1">
        <v>43953</v>
      </c>
      <c r="D79" s="1">
        <v>43992</v>
      </c>
      <c r="E79" t="s">
        <v>5</v>
      </c>
      <c r="F79" t="s">
        <v>8</v>
      </c>
      <c r="G79">
        <v>24</v>
      </c>
      <c r="H79" t="b" cm="1">
        <f t="array" ref="H79">YEAR(tblVacancy[[#This Row],[Filled]])=MAX(YEAR(tblVacancy[Filled]))</f>
        <v>0</v>
      </c>
      <c r="I79">
        <f>tblVacancy[[#This Row],[Filled]]-tblVacancy[[#This Row],[Vacant]]</f>
        <v>39</v>
      </c>
    </row>
    <row r="80" spans="1:9" x14ac:dyDescent="0.3">
      <c r="A80" t="s">
        <v>46</v>
      </c>
      <c r="B80" t="s">
        <v>51</v>
      </c>
      <c r="C80" s="1">
        <v>43996</v>
      </c>
      <c r="D80" s="1">
        <v>44017</v>
      </c>
      <c r="E80" t="s">
        <v>5</v>
      </c>
      <c r="F80" t="s">
        <v>9</v>
      </c>
      <c r="G80">
        <v>66</v>
      </c>
      <c r="H80" t="b" cm="1">
        <f t="array" ref="H80">YEAR(tblVacancy[[#This Row],[Filled]])=MAX(YEAR(tblVacancy[Filled]))</f>
        <v>0</v>
      </c>
      <c r="I80">
        <f>tblVacancy[[#This Row],[Filled]]-tblVacancy[[#This Row],[Vacant]]</f>
        <v>21</v>
      </c>
    </row>
    <row r="81" spans="1:9" x14ac:dyDescent="0.3">
      <c r="A81" t="s">
        <v>45</v>
      </c>
      <c r="B81" t="s">
        <v>51</v>
      </c>
      <c r="C81" s="1">
        <v>43992</v>
      </c>
      <c r="D81" s="1">
        <v>44030</v>
      </c>
      <c r="E81" t="s">
        <v>6</v>
      </c>
      <c r="F81" t="s">
        <v>7</v>
      </c>
      <c r="G81">
        <v>56</v>
      </c>
      <c r="H81" t="b" cm="1">
        <f t="array" ref="H81">YEAR(tblVacancy[[#This Row],[Filled]])=MAX(YEAR(tblVacancy[Filled]))</f>
        <v>0</v>
      </c>
      <c r="I81">
        <f>tblVacancy[[#This Row],[Filled]]-tblVacancy[[#This Row],[Vacant]]</f>
        <v>38</v>
      </c>
    </row>
    <row r="82" spans="1:9" x14ac:dyDescent="0.3">
      <c r="A82" t="s">
        <v>46</v>
      </c>
      <c r="B82" t="s">
        <v>51</v>
      </c>
      <c r="C82" s="1">
        <v>44021</v>
      </c>
      <c r="D82" s="1">
        <v>44033</v>
      </c>
      <c r="E82" t="s">
        <v>5</v>
      </c>
      <c r="F82" t="s">
        <v>7</v>
      </c>
      <c r="G82">
        <v>65</v>
      </c>
      <c r="H82" t="b" cm="1">
        <f t="array" ref="H82">YEAR(tblVacancy[[#This Row],[Filled]])=MAX(YEAR(tblVacancy[Filled]))</f>
        <v>0</v>
      </c>
      <c r="I82">
        <f>tblVacancy[[#This Row],[Filled]]-tblVacancy[[#This Row],[Vacant]]</f>
        <v>12</v>
      </c>
    </row>
    <row r="83" spans="1:9" x14ac:dyDescent="0.3">
      <c r="A83" t="s">
        <v>47</v>
      </c>
      <c r="B83" t="s">
        <v>50</v>
      </c>
      <c r="C83" s="1">
        <v>44031</v>
      </c>
      <c r="D83" s="1">
        <v>44065</v>
      </c>
      <c r="E83" t="s">
        <v>5</v>
      </c>
      <c r="F83" t="s">
        <v>7</v>
      </c>
      <c r="G83">
        <v>67</v>
      </c>
      <c r="H83" t="b" cm="1">
        <f t="array" ref="H83">YEAR(tblVacancy[[#This Row],[Filled]])=MAX(YEAR(tblVacancy[Filled]))</f>
        <v>0</v>
      </c>
      <c r="I83">
        <f>tblVacancy[[#This Row],[Filled]]-tblVacancy[[#This Row],[Vacant]]</f>
        <v>34</v>
      </c>
    </row>
    <row r="84" spans="1:9" x14ac:dyDescent="0.3">
      <c r="A84" t="s">
        <v>43</v>
      </c>
      <c r="B84" t="s">
        <v>51</v>
      </c>
      <c r="C84" s="1">
        <v>44042</v>
      </c>
      <c r="D84" s="1">
        <v>44069</v>
      </c>
      <c r="E84" t="s">
        <v>5</v>
      </c>
      <c r="F84" t="s">
        <v>10</v>
      </c>
      <c r="G84">
        <v>23</v>
      </c>
      <c r="H84" t="b" cm="1">
        <f t="array" ref="H84">YEAR(tblVacancy[[#This Row],[Filled]])=MAX(YEAR(tblVacancy[Filled]))</f>
        <v>0</v>
      </c>
      <c r="I84">
        <f>tblVacancy[[#This Row],[Filled]]-tblVacancy[[#This Row],[Vacant]]</f>
        <v>27</v>
      </c>
    </row>
    <row r="85" spans="1:9" x14ac:dyDescent="0.3">
      <c r="A85" t="s">
        <v>45</v>
      </c>
      <c r="B85" t="s">
        <v>51</v>
      </c>
      <c r="C85" s="1">
        <v>44074</v>
      </c>
      <c r="D85" s="1">
        <v>44090</v>
      </c>
      <c r="E85" t="s">
        <v>5</v>
      </c>
      <c r="F85" t="s">
        <v>8</v>
      </c>
      <c r="G85">
        <v>56</v>
      </c>
      <c r="H85" t="b" cm="1">
        <f t="array" ref="H85">YEAR(tblVacancy[[#This Row],[Filled]])=MAX(YEAR(tblVacancy[Filled]))</f>
        <v>0</v>
      </c>
      <c r="I85">
        <f>tblVacancy[[#This Row],[Filled]]-tblVacancy[[#This Row],[Vacant]]</f>
        <v>16</v>
      </c>
    </row>
    <row r="86" spans="1:9" x14ac:dyDescent="0.3">
      <c r="A86" t="s">
        <v>45</v>
      </c>
      <c r="B86" t="s">
        <v>51</v>
      </c>
      <c r="C86" s="1">
        <v>44069</v>
      </c>
      <c r="D86" s="1">
        <v>44106</v>
      </c>
      <c r="E86" t="s">
        <v>6</v>
      </c>
      <c r="F86" t="s">
        <v>10</v>
      </c>
      <c r="G86">
        <v>60</v>
      </c>
      <c r="H86" t="b" cm="1">
        <f t="array" ref="H86">YEAR(tblVacancy[[#This Row],[Filled]])=MAX(YEAR(tblVacancy[Filled]))</f>
        <v>0</v>
      </c>
      <c r="I86">
        <f>tblVacancy[[#This Row],[Filled]]-tblVacancy[[#This Row],[Vacant]]</f>
        <v>37</v>
      </c>
    </row>
    <row r="87" spans="1:9" x14ac:dyDescent="0.3">
      <c r="A87" t="s">
        <v>40</v>
      </c>
      <c r="B87" t="s">
        <v>50</v>
      </c>
      <c r="C87" s="1">
        <v>44087</v>
      </c>
      <c r="D87" s="1">
        <v>44108</v>
      </c>
      <c r="E87" t="s">
        <v>5</v>
      </c>
      <c r="F87" t="s">
        <v>7</v>
      </c>
      <c r="G87">
        <v>54</v>
      </c>
      <c r="H87" t="b" cm="1">
        <f t="array" ref="H87">YEAR(tblVacancy[[#This Row],[Filled]])=MAX(YEAR(tblVacancy[Filled]))</f>
        <v>0</v>
      </c>
      <c r="I87">
        <f>tblVacancy[[#This Row],[Filled]]-tblVacancy[[#This Row],[Vacant]]</f>
        <v>21</v>
      </c>
    </row>
    <row r="88" spans="1:9" x14ac:dyDescent="0.3">
      <c r="A88" t="s">
        <v>46</v>
      </c>
      <c r="B88" t="s">
        <v>51</v>
      </c>
      <c r="C88" s="1">
        <v>44079</v>
      </c>
      <c r="D88" s="1">
        <v>44113</v>
      </c>
      <c r="E88" t="s">
        <v>5</v>
      </c>
      <c r="F88" t="s">
        <v>10</v>
      </c>
      <c r="G88">
        <v>72</v>
      </c>
      <c r="H88" t="b" cm="1">
        <f t="array" ref="H88">YEAR(tblVacancy[[#This Row],[Filled]])=MAX(YEAR(tblVacancy[Filled]))</f>
        <v>0</v>
      </c>
      <c r="I88">
        <f>tblVacancy[[#This Row],[Filled]]-tblVacancy[[#This Row],[Vacant]]</f>
        <v>34</v>
      </c>
    </row>
    <row r="89" spans="1:9" x14ac:dyDescent="0.3">
      <c r="A89" t="s">
        <v>45</v>
      </c>
      <c r="B89" t="s">
        <v>51</v>
      </c>
      <c r="C89" s="1">
        <v>44106</v>
      </c>
      <c r="D89" s="1">
        <v>44132</v>
      </c>
      <c r="E89" t="s">
        <v>5</v>
      </c>
      <c r="F89" t="s">
        <v>7</v>
      </c>
      <c r="G89">
        <v>56</v>
      </c>
      <c r="H89" t="b" cm="1">
        <f t="array" ref="H89">YEAR(tblVacancy[[#This Row],[Filled]])=MAX(YEAR(tblVacancy[Filled]))</f>
        <v>0</v>
      </c>
      <c r="I89">
        <f>tblVacancy[[#This Row],[Filled]]-tblVacancy[[#This Row],[Vacant]]</f>
        <v>26</v>
      </c>
    </row>
    <row r="90" spans="1:9" x14ac:dyDescent="0.3">
      <c r="A90" t="s">
        <v>45</v>
      </c>
      <c r="B90" t="s">
        <v>51</v>
      </c>
      <c r="C90" s="1">
        <v>44106</v>
      </c>
      <c r="D90" s="1">
        <v>44138</v>
      </c>
      <c r="E90" t="s">
        <v>5</v>
      </c>
      <c r="F90" t="s">
        <v>11</v>
      </c>
      <c r="G90">
        <v>60</v>
      </c>
      <c r="H90" t="b" cm="1">
        <f t="array" ref="H90">YEAR(tblVacancy[[#This Row],[Filled]])=MAX(YEAR(tblVacancy[Filled]))</f>
        <v>0</v>
      </c>
      <c r="I90">
        <f>tblVacancy[[#This Row],[Filled]]-tblVacancy[[#This Row],[Vacant]]</f>
        <v>32</v>
      </c>
    </row>
    <row r="91" spans="1:9" x14ac:dyDescent="0.3">
      <c r="A91" t="s">
        <v>45</v>
      </c>
      <c r="B91" t="s">
        <v>51</v>
      </c>
      <c r="C91" s="1">
        <v>44119</v>
      </c>
      <c r="D91" s="1">
        <v>44152</v>
      </c>
      <c r="E91" t="s">
        <v>5</v>
      </c>
      <c r="F91" t="s">
        <v>10</v>
      </c>
      <c r="G91">
        <v>50</v>
      </c>
      <c r="H91" t="b" cm="1">
        <f t="array" ref="H91">YEAR(tblVacancy[[#This Row],[Filled]])=MAX(YEAR(tblVacancy[Filled]))</f>
        <v>0</v>
      </c>
      <c r="I91">
        <f>tblVacancy[[#This Row],[Filled]]-tblVacancy[[#This Row],[Vacant]]</f>
        <v>33</v>
      </c>
    </row>
    <row r="92" spans="1:9" x14ac:dyDescent="0.3">
      <c r="A92" t="s">
        <v>45</v>
      </c>
      <c r="B92" t="s">
        <v>51</v>
      </c>
      <c r="C92" s="1">
        <v>44133</v>
      </c>
      <c r="D92" s="1">
        <v>44158</v>
      </c>
      <c r="E92" t="s">
        <v>5</v>
      </c>
      <c r="F92" t="s">
        <v>7</v>
      </c>
      <c r="G92">
        <v>52</v>
      </c>
      <c r="H92" t="b" cm="1">
        <f t="array" ref="H92">YEAR(tblVacancy[[#This Row],[Filled]])=MAX(YEAR(tblVacancy[Filled]))</f>
        <v>0</v>
      </c>
      <c r="I92">
        <f>tblVacancy[[#This Row],[Filled]]-tblVacancy[[#This Row],[Vacant]]</f>
        <v>25</v>
      </c>
    </row>
    <row r="93" spans="1:9" x14ac:dyDescent="0.3">
      <c r="A93" t="s">
        <v>47</v>
      </c>
      <c r="B93" t="s">
        <v>50</v>
      </c>
      <c r="C93" s="1">
        <v>44176</v>
      </c>
      <c r="D93" s="1">
        <v>44219</v>
      </c>
      <c r="E93" t="s">
        <v>5</v>
      </c>
      <c r="F93" t="s">
        <v>7</v>
      </c>
      <c r="G93">
        <v>65</v>
      </c>
      <c r="H93" t="b" cm="1">
        <f t="array" ref="H93">YEAR(tblVacancy[[#This Row],[Filled]])=MAX(YEAR(tblVacancy[Filled]))</f>
        <v>0</v>
      </c>
      <c r="I93">
        <f>tblVacancy[[#This Row],[Filled]]-tblVacancy[[#This Row],[Vacant]]</f>
        <v>43</v>
      </c>
    </row>
    <row r="94" spans="1:9" x14ac:dyDescent="0.3">
      <c r="A94" t="s">
        <v>45</v>
      </c>
      <c r="B94" t="s">
        <v>51</v>
      </c>
      <c r="C94" s="1">
        <v>44191</v>
      </c>
      <c r="D94" s="1">
        <v>44226</v>
      </c>
      <c r="E94" t="s">
        <v>5</v>
      </c>
      <c r="F94" t="s">
        <v>7</v>
      </c>
      <c r="G94">
        <v>50</v>
      </c>
      <c r="H94" t="b" cm="1">
        <f t="array" ref="H94">YEAR(tblVacancy[[#This Row],[Filled]])=MAX(YEAR(tblVacancy[Filled]))</f>
        <v>0</v>
      </c>
      <c r="I94">
        <f>tblVacancy[[#This Row],[Filled]]-tblVacancy[[#This Row],[Vacant]]</f>
        <v>35</v>
      </c>
    </row>
    <row r="95" spans="1:9" x14ac:dyDescent="0.3">
      <c r="A95" t="s">
        <v>46</v>
      </c>
      <c r="B95" t="s">
        <v>51</v>
      </c>
      <c r="C95" s="1">
        <v>44184</v>
      </c>
      <c r="D95" s="1">
        <v>44235</v>
      </c>
      <c r="E95" t="s">
        <v>5</v>
      </c>
      <c r="F95" t="s">
        <v>10</v>
      </c>
      <c r="G95">
        <v>63</v>
      </c>
      <c r="H95" t="b" cm="1">
        <f t="array" ref="H95">YEAR(tblVacancy[[#This Row],[Filled]])=MAX(YEAR(tblVacancy[Filled]))</f>
        <v>0</v>
      </c>
      <c r="I95">
        <f>tblVacancy[[#This Row],[Filled]]-tblVacancy[[#This Row],[Vacant]]</f>
        <v>51</v>
      </c>
    </row>
    <row r="96" spans="1:9" x14ac:dyDescent="0.3">
      <c r="A96" t="s">
        <v>47</v>
      </c>
      <c r="B96" t="s">
        <v>50</v>
      </c>
      <c r="C96" s="1">
        <v>44198</v>
      </c>
      <c r="D96" s="1">
        <v>44236</v>
      </c>
      <c r="E96" t="s">
        <v>6</v>
      </c>
      <c r="F96" t="s">
        <v>7</v>
      </c>
      <c r="G96">
        <v>67</v>
      </c>
      <c r="H96" t="b" cm="1">
        <f t="array" ref="H96">YEAR(tblVacancy[[#This Row],[Filled]])=MAX(YEAR(tblVacancy[Filled]))</f>
        <v>0</v>
      </c>
      <c r="I96">
        <f>tblVacancy[[#This Row],[Filled]]-tblVacancy[[#This Row],[Vacant]]</f>
        <v>38</v>
      </c>
    </row>
    <row r="97" spans="1:9" x14ac:dyDescent="0.3">
      <c r="A97" t="s">
        <v>46</v>
      </c>
      <c r="B97" t="s">
        <v>51</v>
      </c>
      <c r="C97" s="1">
        <v>44216</v>
      </c>
      <c r="D97" s="1">
        <v>44237</v>
      </c>
      <c r="E97" t="s">
        <v>5</v>
      </c>
      <c r="F97" t="s">
        <v>7</v>
      </c>
      <c r="G97">
        <v>72</v>
      </c>
      <c r="H97" t="b" cm="1">
        <f t="array" ref="H97">YEAR(tblVacancy[[#This Row],[Filled]])=MAX(YEAR(tblVacancy[Filled]))</f>
        <v>0</v>
      </c>
      <c r="I97">
        <f>tblVacancy[[#This Row],[Filled]]-tblVacancy[[#This Row],[Vacant]]</f>
        <v>21</v>
      </c>
    </row>
    <row r="98" spans="1:9" x14ac:dyDescent="0.3">
      <c r="A98" t="s">
        <v>45</v>
      </c>
      <c r="B98" t="s">
        <v>51</v>
      </c>
      <c r="C98" s="1">
        <v>44224</v>
      </c>
      <c r="D98" s="1">
        <v>44264</v>
      </c>
      <c r="E98" t="s">
        <v>6</v>
      </c>
      <c r="F98" t="s">
        <v>7</v>
      </c>
      <c r="G98">
        <v>56</v>
      </c>
      <c r="H98" t="b" cm="1">
        <f t="array" ref="H98">YEAR(tblVacancy[[#This Row],[Filled]])=MAX(YEAR(tblVacancy[Filled]))</f>
        <v>0</v>
      </c>
      <c r="I98">
        <f>tblVacancy[[#This Row],[Filled]]-tblVacancy[[#This Row],[Vacant]]</f>
        <v>40</v>
      </c>
    </row>
    <row r="99" spans="1:9" x14ac:dyDescent="0.3">
      <c r="A99" t="s">
        <v>40</v>
      </c>
      <c r="B99" t="s">
        <v>50</v>
      </c>
      <c r="C99" s="1">
        <v>44240</v>
      </c>
      <c r="D99" s="1">
        <v>44273</v>
      </c>
      <c r="E99" t="s">
        <v>5</v>
      </c>
      <c r="F99" t="s">
        <v>7</v>
      </c>
      <c r="G99">
        <v>46</v>
      </c>
      <c r="H99" t="b" cm="1">
        <f t="array" ref="H99">YEAR(tblVacancy[[#This Row],[Filled]])=MAX(YEAR(tblVacancy[Filled]))</f>
        <v>0</v>
      </c>
      <c r="I99">
        <f>tblVacancy[[#This Row],[Filled]]-tblVacancy[[#This Row],[Vacant]]</f>
        <v>33</v>
      </c>
    </row>
    <row r="100" spans="1:9" x14ac:dyDescent="0.3">
      <c r="A100" t="s">
        <v>47</v>
      </c>
      <c r="B100" t="s">
        <v>50</v>
      </c>
      <c r="C100" s="1">
        <v>44270</v>
      </c>
      <c r="D100" s="1">
        <v>44305</v>
      </c>
      <c r="E100" t="s">
        <v>6</v>
      </c>
      <c r="F100" t="s">
        <v>10</v>
      </c>
      <c r="G100">
        <v>53</v>
      </c>
      <c r="H100" t="b" cm="1">
        <f t="array" ref="H100">YEAR(tblVacancy[[#This Row],[Filled]])=MAX(YEAR(tblVacancy[Filled]))</f>
        <v>0</v>
      </c>
      <c r="I100">
        <f>tblVacancy[[#This Row],[Filled]]-tblVacancy[[#This Row],[Vacant]]</f>
        <v>35</v>
      </c>
    </row>
    <row r="101" spans="1:9" x14ac:dyDescent="0.3">
      <c r="A101" t="s">
        <v>45</v>
      </c>
      <c r="B101" t="s">
        <v>51</v>
      </c>
      <c r="C101" s="1">
        <v>44284</v>
      </c>
      <c r="D101" s="1">
        <v>44313</v>
      </c>
      <c r="E101" t="s">
        <v>5</v>
      </c>
      <c r="F101" t="s">
        <v>7</v>
      </c>
      <c r="G101">
        <v>62</v>
      </c>
      <c r="H101" t="b" cm="1">
        <f t="array" ref="H101">YEAR(tblVacancy[[#This Row],[Filled]])=MAX(YEAR(tblVacancy[Filled]))</f>
        <v>0</v>
      </c>
      <c r="I101">
        <f>tblVacancy[[#This Row],[Filled]]-tblVacancy[[#This Row],[Vacant]]</f>
        <v>29</v>
      </c>
    </row>
    <row r="102" spans="1:9" x14ac:dyDescent="0.3">
      <c r="A102" t="s">
        <v>46</v>
      </c>
      <c r="B102" t="s">
        <v>51</v>
      </c>
      <c r="C102" s="1">
        <v>44274</v>
      </c>
      <c r="D102" s="1">
        <v>44314</v>
      </c>
      <c r="E102" t="s">
        <v>6</v>
      </c>
      <c r="F102" t="s">
        <v>7</v>
      </c>
      <c r="G102">
        <v>62</v>
      </c>
      <c r="H102" t="b" cm="1">
        <f t="array" ref="H102">YEAR(tblVacancy[[#This Row],[Filled]])=MAX(YEAR(tblVacancy[Filled]))</f>
        <v>0</v>
      </c>
      <c r="I102">
        <f>tblVacancy[[#This Row],[Filled]]-tblVacancy[[#This Row],[Vacant]]</f>
        <v>40</v>
      </c>
    </row>
    <row r="103" spans="1:9" x14ac:dyDescent="0.3">
      <c r="A103" t="s">
        <v>47</v>
      </c>
      <c r="B103" t="s">
        <v>50</v>
      </c>
      <c r="C103" s="1">
        <v>44286</v>
      </c>
      <c r="D103" s="1">
        <v>44318</v>
      </c>
      <c r="E103" t="s">
        <v>5</v>
      </c>
      <c r="F103" t="s">
        <v>7</v>
      </c>
      <c r="G103">
        <v>56</v>
      </c>
      <c r="H103" t="b" cm="1">
        <f t="array" ref="H103">YEAR(tblVacancy[[#This Row],[Filled]])=MAX(YEAR(tblVacancy[Filled]))</f>
        <v>0</v>
      </c>
      <c r="I103">
        <f>tblVacancy[[#This Row],[Filled]]-tblVacancy[[#This Row],[Vacant]]</f>
        <v>32</v>
      </c>
    </row>
    <row r="104" spans="1:9" x14ac:dyDescent="0.3">
      <c r="A104" t="s">
        <v>47</v>
      </c>
      <c r="B104" t="s">
        <v>50</v>
      </c>
      <c r="C104" s="1">
        <v>44306</v>
      </c>
      <c r="D104" s="1">
        <v>44333</v>
      </c>
      <c r="E104" t="s">
        <v>5</v>
      </c>
      <c r="F104" t="s">
        <v>8</v>
      </c>
      <c r="G104">
        <v>65</v>
      </c>
      <c r="H104" t="b" cm="1">
        <f t="array" ref="H104">YEAR(tblVacancy[[#This Row],[Filled]])=MAX(YEAR(tblVacancy[Filled]))</f>
        <v>0</v>
      </c>
      <c r="I104">
        <f>tblVacancy[[#This Row],[Filled]]-tblVacancy[[#This Row],[Vacant]]</f>
        <v>27</v>
      </c>
    </row>
    <row r="105" spans="1:9" x14ac:dyDescent="0.3">
      <c r="A105" t="s">
        <v>46</v>
      </c>
      <c r="B105" t="s">
        <v>51</v>
      </c>
      <c r="C105" s="1">
        <v>44321</v>
      </c>
      <c r="D105" s="1">
        <v>44345</v>
      </c>
      <c r="E105" t="s">
        <v>5</v>
      </c>
      <c r="F105" t="s">
        <v>9</v>
      </c>
      <c r="G105">
        <v>64</v>
      </c>
      <c r="H105" t="b" cm="1">
        <f t="array" ref="H105">YEAR(tblVacancy[[#This Row],[Filled]])=MAX(YEAR(tblVacancy[Filled]))</f>
        <v>0</v>
      </c>
      <c r="I105">
        <f>tblVacancy[[#This Row],[Filled]]-tblVacancy[[#This Row],[Vacant]]</f>
        <v>24</v>
      </c>
    </row>
    <row r="106" spans="1:9" x14ac:dyDescent="0.3">
      <c r="A106" t="s">
        <v>40</v>
      </c>
      <c r="B106" t="s">
        <v>50</v>
      </c>
      <c r="C106" s="1">
        <v>44357</v>
      </c>
      <c r="D106" s="1">
        <v>44373</v>
      </c>
      <c r="E106" t="s">
        <v>5</v>
      </c>
      <c r="F106" t="s">
        <v>8</v>
      </c>
      <c r="G106">
        <v>51</v>
      </c>
      <c r="H106" t="b" cm="1">
        <f t="array" ref="H106">YEAR(tblVacancy[[#This Row],[Filled]])=MAX(YEAR(tblVacancy[Filled]))</f>
        <v>0</v>
      </c>
      <c r="I106">
        <f>tblVacancy[[#This Row],[Filled]]-tblVacancy[[#This Row],[Vacant]]</f>
        <v>16</v>
      </c>
    </row>
    <row r="107" spans="1:9" x14ac:dyDescent="0.3">
      <c r="A107" t="s">
        <v>46</v>
      </c>
      <c r="B107" t="s">
        <v>51</v>
      </c>
      <c r="C107" s="1">
        <v>44340</v>
      </c>
      <c r="D107" s="1">
        <v>44377</v>
      </c>
      <c r="E107" t="s">
        <v>5</v>
      </c>
      <c r="F107" t="s">
        <v>9</v>
      </c>
      <c r="G107">
        <v>76</v>
      </c>
      <c r="H107" t="b" cm="1">
        <f t="array" ref="H107">YEAR(tblVacancy[[#This Row],[Filled]])=MAX(YEAR(tblVacancy[Filled]))</f>
        <v>0</v>
      </c>
      <c r="I107">
        <f>tblVacancy[[#This Row],[Filled]]-tblVacancy[[#This Row],[Vacant]]</f>
        <v>37</v>
      </c>
    </row>
    <row r="108" spans="1:9" x14ac:dyDescent="0.3">
      <c r="A108" t="s">
        <v>46</v>
      </c>
      <c r="B108" t="s">
        <v>51</v>
      </c>
      <c r="C108" s="1">
        <v>44381</v>
      </c>
      <c r="D108" s="1">
        <v>44404</v>
      </c>
      <c r="E108" t="s">
        <v>5</v>
      </c>
      <c r="F108" t="s">
        <v>7</v>
      </c>
      <c r="G108">
        <v>62</v>
      </c>
      <c r="H108" t="b" cm="1">
        <f t="array" ref="H108">YEAR(tblVacancy[[#This Row],[Filled]])=MAX(YEAR(tblVacancy[Filled]))</f>
        <v>0</v>
      </c>
      <c r="I108">
        <f>tblVacancy[[#This Row],[Filled]]-tblVacancy[[#This Row],[Vacant]]</f>
        <v>23</v>
      </c>
    </row>
    <row r="109" spans="1:9" x14ac:dyDescent="0.3">
      <c r="A109" t="s">
        <v>45</v>
      </c>
      <c r="B109" t="s">
        <v>51</v>
      </c>
      <c r="C109" s="1">
        <v>44397</v>
      </c>
      <c r="D109" s="1">
        <v>44428</v>
      </c>
      <c r="E109" t="s">
        <v>6</v>
      </c>
      <c r="F109" t="s">
        <v>7</v>
      </c>
      <c r="G109">
        <v>48</v>
      </c>
      <c r="H109" t="b" cm="1">
        <f t="array" ref="H109">YEAR(tblVacancy[[#This Row],[Filled]])=MAX(YEAR(tblVacancy[Filled]))</f>
        <v>0</v>
      </c>
      <c r="I109">
        <f>tblVacancy[[#This Row],[Filled]]-tblVacancy[[#This Row],[Vacant]]</f>
        <v>31</v>
      </c>
    </row>
    <row r="110" spans="1:9" x14ac:dyDescent="0.3">
      <c r="A110" t="s">
        <v>36</v>
      </c>
      <c r="B110" t="s">
        <v>49</v>
      </c>
      <c r="C110" s="1">
        <v>44402</v>
      </c>
      <c r="D110" s="1">
        <v>44428</v>
      </c>
      <c r="E110" t="s">
        <v>6</v>
      </c>
      <c r="F110" t="s">
        <v>7</v>
      </c>
      <c r="G110">
        <v>23</v>
      </c>
      <c r="H110" t="b" cm="1">
        <f t="array" ref="H110">YEAR(tblVacancy[[#This Row],[Filled]])=MAX(YEAR(tblVacancy[Filled]))</f>
        <v>0</v>
      </c>
      <c r="I110">
        <f>tblVacancy[[#This Row],[Filled]]-tblVacancy[[#This Row],[Vacant]]</f>
        <v>26</v>
      </c>
    </row>
    <row r="111" spans="1:9" x14ac:dyDescent="0.3">
      <c r="A111" t="s">
        <v>45</v>
      </c>
      <c r="B111" t="s">
        <v>51</v>
      </c>
      <c r="C111" s="1">
        <v>44414</v>
      </c>
      <c r="D111" s="1">
        <v>44443</v>
      </c>
      <c r="E111" t="s">
        <v>5</v>
      </c>
      <c r="F111" t="s">
        <v>7</v>
      </c>
      <c r="G111">
        <v>48</v>
      </c>
      <c r="H111" t="b" cm="1">
        <f t="array" ref="H111">YEAR(tblVacancy[[#This Row],[Filled]])=MAX(YEAR(tblVacancy[Filled]))</f>
        <v>0</v>
      </c>
      <c r="I111">
        <f>tblVacancy[[#This Row],[Filled]]-tblVacancy[[#This Row],[Vacant]]</f>
        <v>29</v>
      </c>
    </row>
    <row r="112" spans="1:9" x14ac:dyDescent="0.3">
      <c r="A112" t="s">
        <v>47</v>
      </c>
      <c r="B112" t="s">
        <v>50</v>
      </c>
      <c r="C112" s="1">
        <v>44450</v>
      </c>
      <c r="D112" s="1">
        <v>44472</v>
      </c>
      <c r="E112" t="s">
        <v>6</v>
      </c>
      <c r="F112" t="s">
        <v>7</v>
      </c>
      <c r="G112">
        <v>59</v>
      </c>
      <c r="H112" t="b" cm="1">
        <f t="array" ref="H112">YEAR(tblVacancy[[#This Row],[Filled]])=MAX(YEAR(tblVacancy[Filled]))</f>
        <v>0</v>
      </c>
      <c r="I112">
        <f>tblVacancy[[#This Row],[Filled]]-tblVacancy[[#This Row],[Vacant]]</f>
        <v>22</v>
      </c>
    </row>
    <row r="113" spans="1:9" x14ac:dyDescent="0.3">
      <c r="A113" t="s">
        <v>46</v>
      </c>
      <c r="B113" t="s">
        <v>51</v>
      </c>
      <c r="C113" s="1">
        <v>44447</v>
      </c>
      <c r="D113" s="1">
        <v>44478</v>
      </c>
      <c r="E113" t="s">
        <v>6</v>
      </c>
      <c r="F113" t="s">
        <v>7</v>
      </c>
      <c r="G113">
        <v>70</v>
      </c>
      <c r="H113" t="b" cm="1">
        <f t="array" ref="H113">YEAR(tblVacancy[[#This Row],[Filled]])=MAX(YEAR(tblVacancy[Filled]))</f>
        <v>0</v>
      </c>
      <c r="I113">
        <f>tblVacancy[[#This Row],[Filled]]-tblVacancy[[#This Row],[Vacant]]</f>
        <v>31</v>
      </c>
    </row>
    <row r="114" spans="1:9" x14ac:dyDescent="0.3">
      <c r="A114" t="s">
        <v>47</v>
      </c>
      <c r="B114" t="s">
        <v>50</v>
      </c>
      <c r="C114" s="1">
        <v>44464</v>
      </c>
      <c r="D114" s="1">
        <v>44486</v>
      </c>
      <c r="E114" t="s">
        <v>5</v>
      </c>
      <c r="F114" t="s">
        <v>8</v>
      </c>
      <c r="G114">
        <v>54</v>
      </c>
      <c r="H114" t="b" cm="1">
        <f t="array" ref="H114">YEAR(tblVacancy[[#This Row],[Filled]])=MAX(YEAR(tblVacancy[Filled]))</f>
        <v>0</v>
      </c>
      <c r="I114">
        <f>tblVacancy[[#This Row],[Filled]]-tblVacancy[[#This Row],[Vacant]]</f>
        <v>22</v>
      </c>
    </row>
    <row r="115" spans="1:9" x14ac:dyDescent="0.3">
      <c r="A115" t="s">
        <v>45</v>
      </c>
      <c r="B115" t="s">
        <v>51</v>
      </c>
      <c r="C115" s="1">
        <v>44497</v>
      </c>
      <c r="D115" s="1">
        <v>44518</v>
      </c>
      <c r="E115" t="s">
        <v>5</v>
      </c>
      <c r="F115" t="s">
        <v>11</v>
      </c>
      <c r="G115">
        <v>57</v>
      </c>
      <c r="H115" t="b" cm="1">
        <f t="array" ref="H115">YEAR(tblVacancy[[#This Row],[Filled]])=MAX(YEAR(tblVacancy[Filled]))</f>
        <v>0</v>
      </c>
      <c r="I115">
        <f>tblVacancy[[#This Row],[Filled]]-tblVacancy[[#This Row],[Vacant]]</f>
        <v>21</v>
      </c>
    </row>
    <row r="116" spans="1:9" x14ac:dyDescent="0.3">
      <c r="A116" t="s">
        <v>45</v>
      </c>
      <c r="B116" t="s">
        <v>51</v>
      </c>
      <c r="C116" s="1">
        <v>44476</v>
      </c>
      <c r="D116" s="1">
        <v>44519</v>
      </c>
      <c r="E116" t="s">
        <v>5</v>
      </c>
      <c r="F116" t="s">
        <v>8</v>
      </c>
      <c r="G116">
        <v>52</v>
      </c>
      <c r="H116" t="b" cm="1">
        <f t="array" ref="H116">YEAR(tblVacancy[[#This Row],[Filled]])=MAX(YEAR(tblVacancy[Filled]))</f>
        <v>0</v>
      </c>
      <c r="I116">
        <f>tblVacancy[[#This Row],[Filled]]-tblVacancy[[#This Row],[Vacant]]</f>
        <v>43</v>
      </c>
    </row>
    <row r="117" spans="1:9" x14ac:dyDescent="0.3">
      <c r="A117" t="s">
        <v>46</v>
      </c>
      <c r="B117" t="s">
        <v>51</v>
      </c>
      <c r="C117" s="1">
        <v>44497</v>
      </c>
      <c r="D117" s="1">
        <v>44526</v>
      </c>
      <c r="E117" t="s">
        <v>5</v>
      </c>
      <c r="F117" t="s">
        <v>8</v>
      </c>
      <c r="G117">
        <v>71</v>
      </c>
      <c r="H117" t="b" cm="1">
        <f t="array" ref="H117">YEAR(tblVacancy[[#This Row],[Filled]])=MAX(YEAR(tblVacancy[Filled]))</f>
        <v>0</v>
      </c>
      <c r="I117">
        <f>tblVacancy[[#This Row],[Filled]]-tblVacancy[[#This Row],[Vacant]]</f>
        <v>29</v>
      </c>
    </row>
    <row r="118" spans="1:9" x14ac:dyDescent="0.3">
      <c r="A118" t="s">
        <v>46</v>
      </c>
      <c r="B118" t="s">
        <v>51</v>
      </c>
      <c r="C118" s="1">
        <v>44521</v>
      </c>
      <c r="D118" s="1">
        <v>44529</v>
      </c>
      <c r="E118" t="s">
        <v>6</v>
      </c>
      <c r="F118" t="s">
        <v>7</v>
      </c>
      <c r="G118">
        <v>65</v>
      </c>
      <c r="H118" t="b" cm="1">
        <f t="array" ref="H118">YEAR(tblVacancy[[#This Row],[Filled]])=MAX(YEAR(tblVacancy[Filled]))</f>
        <v>0</v>
      </c>
      <c r="I118">
        <f>tblVacancy[[#This Row],[Filled]]-tblVacancy[[#This Row],[Vacant]]</f>
        <v>8</v>
      </c>
    </row>
    <row r="119" spans="1:9" x14ac:dyDescent="0.3">
      <c r="A119" t="s">
        <v>45</v>
      </c>
      <c r="B119" t="s">
        <v>51</v>
      </c>
      <c r="C119" s="1">
        <v>44492</v>
      </c>
      <c r="D119" s="1">
        <v>44536</v>
      </c>
      <c r="E119" t="s">
        <v>6</v>
      </c>
      <c r="F119" t="s">
        <v>11</v>
      </c>
      <c r="G119">
        <v>49</v>
      </c>
      <c r="H119" t="b" cm="1">
        <f t="array" ref="H119">YEAR(tblVacancy[[#This Row],[Filled]])=MAX(YEAR(tblVacancy[Filled]))</f>
        <v>0</v>
      </c>
      <c r="I119">
        <f>tblVacancy[[#This Row],[Filled]]-tblVacancy[[#This Row],[Vacant]]</f>
        <v>44</v>
      </c>
    </row>
    <row r="120" spans="1:9" x14ac:dyDescent="0.3">
      <c r="A120" t="s">
        <v>46</v>
      </c>
      <c r="B120" t="s">
        <v>51</v>
      </c>
      <c r="C120" s="1">
        <v>44523</v>
      </c>
      <c r="D120" s="1">
        <v>44550</v>
      </c>
      <c r="E120" t="s">
        <v>5</v>
      </c>
      <c r="F120" t="s">
        <v>10</v>
      </c>
      <c r="G120">
        <v>70</v>
      </c>
      <c r="H120" t="b" cm="1">
        <f t="array" ref="H120">YEAR(tblVacancy[[#This Row],[Filled]])=MAX(YEAR(tblVacancy[Filled]))</f>
        <v>0</v>
      </c>
      <c r="I120">
        <f>tblVacancy[[#This Row],[Filled]]-tblVacancy[[#This Row],[Vacant]]</f>
        <v>27</v>
      </c>
    </row>
    <row r="121" spans="1:9" x14ac:dyDescent="0.3">
      <c r="A121" t="s">
        <v>45</v>
      </c>
      <c r="B121" t="s">
        <v>51</v>
      </c>
      <c r="C121" s="1">
        <v>44518</v>
      </c>
      <c r="D121" s="1">
        <v>44553</v>
      </c>
      <c r="E121" t="s">
        <v>5</v>
      </c>
      <c r="F121" t="s">
        <v>10</v>
      </c>
      <c r="G121">
        <v>54</v>
      </c>
      <c r="H121" t="b" cm="1">
        <f t="array" ref="H121">YEAR(tblVacancy[[#This Row],[Filled]])=MAX(YEAR(tblVacancy[Filled]))</f>
        <v>0</v>
      </c>
      <c r="I121">
        <f>tblVacancy[[#This Row],[Filled]]-tblVacancy[[#This Row],[Vacant]]</f>
        <v>35</v>
      </c>
    </row>
    <row r="122" spans="1:9" x14ac:dyDescent="0.3">
      <c r="A122" t="s">
        <v>36</v>
      </c>
      <c r="B122" t="s">
        <v>49</v>
      </c>
      <c r="C122" s="1">
        <v>44402</v>
      </c>
      <c r="D122" s="1">
        <v>44793</v>
      </c>
      <c r="E122" t="s">
        <v>6</v>
      </c>
      <c r="F122" t="s">
        <v>7</v>
      </c>
      <c r="G122">
        <v>23</v>
      </c>
      <c r="H122" s="6" t="b" cm="1">
        <f t="array" ref="H122">YEAR(tblVacancy[[#This Row],[Filled]])=MAX(YEAR(tblVacancy[Filled]))</f>
        <v>1</v>
      </c>
      <c r="I122" s="6">
        <f>tblVacancy[[#This Row],[Filled]]-tblVacancy[[#This Row],[Vacant]]</f>
        <v>391</v>
      </c>
    </row>
    <row r="123" spans="1:9" x14ac:dyDescent="0.3">
      <c r="A123" t="s">
        <v>45</v>
      </c>
      <c r="B123" t="s">
        <v>51</v>
      </c>
      <c r="C123" s="1">
        <v>44414</v>
      </c>
      <c r="D123" s="1">
        <v>44808</v>
      </c>
      <c r="E123" t="s">
        <v>5</v>
      </c>
      <c r="F123" t="s">
        <v>7</v>
      </c>
      <c r="G123">
        <v>48</v>
      </c>
      <c r="H123" s="6" t="b" cm="1">
        <f t="array" ref="H123">YEAR(tblVacancy[[#This Row],[Filled]])=MAX(YEAR(tblVacancy[Filled]))</f>
        <v>1</v>
      </c>
      <c r="I123" s="6">
        <f>tblVacancy[[#This Row],[Filled]]-tblVacancy[[#This Row],[Vacant]]</f>
        <v>394</v>
      </c>
    </row>
    <row r="124" spans="1:9" x14ac:dyDescent="0.3">
      <c r="A124" t="s">
        <v>47</v>
      </c>
      <c r="B124" t="s">
        <v>50</v>
      </c>
      <c r="C124" s="1">
        <v>44450</v>
      </c>
      <c r="D124" s="1">
        <v>44837</v>
      </c>
      <c r="E124" t="s">
        <v>6</v>
      </c>
      <c r="F124" t="s">
        <v>7</v>
      </c>
      <c r="G124">
        <v>59</v>
      </c>
      <c r="H124" s="6" t="b" cm="1">
        <f t="array" ref="H124">YEAR(tblVacancy[[#This Row],[Filled]])=MAX(YEAR(tblVacancy[Filled]))</f>
        <v>1</v>
      </c>
      <c r="I124" s="6">
        <f>tblVacancy[[#This Row],[Filled]]-tblVacancy[[#This Row],[Vacant]]</f>
        <v>387</v>
      </c>
    </row>
    <row r="125" spans="1:9" x14ac:dyDescent="0.3">
      <c r="A125" t="s">
        <v>46</v>
      </c>
      <c r="B125" t="s">
        <v>51</v>
      </c>
      <c r="C125" s="1">
        <v>44447</v>
      </c>
      <c r="D125" s="1">
        <v>44843</v>
      </c>
      <c r="E125" t="s">
        <v>6</v>
      </c>
      <c r="F125" t="s">
        <v>7</v>
      </c>
      <c r="G125">
        <v>70</v>
      </c>
      <c r="H125" s="6" t="b" cm="1">
        <f t="array" ref="H125">YEAR(tblVacancy[[#This Row],[Filled]])=MAX(YEAR(tblVacancy[Filled]))</f>
        <v>1</v>
      </c>
      <c r="I125" s="6">
        <f>tblVacancy[[#This Row],[Filled]]-tblVacancy[[#This Row],[Vacant]]</f>
        <v>396</v>
      </c>
    </row>
    <row r="126" spans="1:9" x14ac:dyDescent="0.3">
      <c r="A126" t="s">
        <v>47</v>
      </c>
      <c r="B126" t="s">
        <v>50</v>
      </c>
      <c r="C126" s="1">
        <v>44464</v>
      </c>
      <c r="D126" s="1">
        <v>44851</v>
      </c>
      <c r="E126" t="s">
        <v>5</v>
      </c>
      <c r="F126" t="s">
        <v>8</v>
      </c>
      <c r="G126">
        <v>54</v>
      </c>
      <c r="H126" s="6" t="b" cm="1">
        <f t="array" ref="H126">YEAR(tblVacancy[[#This Row],[Filled]])=MAX(YEAR(tblVacancy[Filled]))</f>
        <v>1</v>
      </c>
      <c r="I126" s="6">
        <f>tblVacancy[[#This Row],[Filled]]-tblVacancy[[#This Row],[Vacant]]</f>
        <v>387</v>
      </c>
    </row>
    <row r="127" spans="1:9" x14ac:dyDescent="0.3">
      <c r="A127" t="s">
        <v>45</v>
      </c>
      <c r="B127" t="s">
        <v>51</v>
      </c>
      <c r="C127" s="1">
        <v>44497</v>
      </c>
      <c r="D127" s="1">
        <v>44883</v>
      </c>
      <c r="E127" t="s">
        <v>5</v>
      </c>
      <c r="F127" t="s">
        <v>11</v>
      </c>
      <c r="G127">
        <v>57</v>
      </c>
      <c r="H127" s="6" t="b" cm="1">
        <f t="array" ref="H127">YEAR(tblVacancy[[#This Row],[Filled]])=MAX(YEAR(tblVacancy[Filled]))</f>
        <v>1</v>
      </c>
      <c r="I127" s="6">
        <f>tblVacancy[[#This Row],[Filled]]-tblVacancy[[#This Row],[Vacant]]</f>
        <v>386</v>
      </c>
    </row>
    <row r="128" spans="1:9" x14ac:dyDescent="0.3">
      <c r="A128" t="s">
        <v>45</v>
      </c>
      <c r="B128" t="s">
        <v>51</v>
      </c>
      <c r="C128" s="1">
        <v>44476</v>
      </c>
      <c r="D128" s="1">
        <v>44884</v>
      </c>
      <c r="E128" t="s">
        <v>5</v>
      </c>
      <c r="F128" t="s">
        <v>8</v>
      </c>
      <c r="G128">
        <v>52</v>
      </c>
      <c r="H128" s="6" t="b" cm="1">
        <f t="array" ref="H128">YEAR(tblVacancy[[#This Row],[Filled]])=MAX(YEAR(tblVacancy[Filled]))</f>
        <v>1</v>
      </c>
      <c r="I128" s="6">
        <f>tblVacancy[[#This Row],[Filled]]-tblVacancy[[#This Row],[Vacant]]</f>
        <v>408</v>
      </c>
    </row>
    <row r="129" spans="1:9" x14ac:dyDescent="0.3">
      <c r="A129" t="s">
        <v>46</v>
      </c>
      <c r="B129" t="s">
        <v>51</v>
      </c>
      <c r="C129" s="1">
        <v>44497</v>
      </c>
      <c r="D129" s="1">
        <v>44891</v>
      </c>
      <c r="E129" t="s">
        <v>5</v>
      </c>
      <c r="F129" t="s">
        <v>8</v>
      </c>
      <c r="G129">
        <v>71</v>
      </c>
      <c r="H129" s="6" t="b" cm="1">
        <f t="array" ref="H129">YEAR(tblVacancy[[#This Row],[Filled]])=MAX(YEAR(tblVacancy[Filled]))</f>
        <v>1</v>
      </c>
      <c r="I129" s="6">
        <f>tblVacancy[[#This Row],[Filled]]-tblVacancy[[#This Row],[Vacant]]</f>
        <v>394</v>
      </c>
    </row>
    <row r="130" spans="1:9" x14ac:dyDescent="0.3">
      <c r="A130" t="s">
        <v>46</v>
      </c>
      <c r="B130" t="s">
        <v>51</v>
      </c>
      <c r="C130" s="1">
        <v>44521</v>
      </c>
      <c r="D130" s="1">
        <v>44894</v>
      </c>
      <c r="E130" t="s">
        <v>6</v>
      </c>
      <c r="F130" t="s">
        <v>7</v>
      </c>
      <c r="G130">
        <v>65</v>
      </c>
      <c r="H130" s="6" t="b" cm="1">
        <f t="array" ref="H130">YEAR(tblVacancy[[#This Row],[Filled]])=MAX(YEAR(tblVacancy[Filled]))</f>
        <v>1</v>
      </c>
      <c r="I130" s="6">
        <f>tblVacancy[[#This Row],[Filled]]-tblVacancy[[#This Row],[Vacant]]</f>
        <v>373</v>
      </c>
    </row>
    <row r="131" spans="1:9" x14ac:dyDescent="0.3">
      <c r="A131" t="s">
        <v>45</v>
      </c>
      <c r="B131" t="s">
        <v>51</v>
      </c>
      <c r="C131" s="1">
        <v>44492</v>
      </c>
      <c r="D131" s="1">
        <v>44901</v>
      </c>
      <c r="E131" t="s">
        <v>6</v>
      </c>
      <c r="F131" t="s">
        <v>11</v>
      </c>
      <c r="G131">
        <v>49</v>
      </c>
      <c r="H131" s="6" t="b" cm="1">
        <f t="array" ref="H131">YEAR(tblVacancy[[#This Row],[Filled]])=MAX(YEAR(tblVacancy[Filled]))</f>
        <v>1</v>
      </c>
      <c r="I131" s="6">
        <f>tblVacancy[[#This Row],[Filled]]-tblVacancy[[#This Row],[Vacant]]</f>
        <v>409</v>
      </c>
    </row>
    <row r="132" spans="1:9" x14ac:dyDescent="0.3">
      <c r="A132" t="s">
        <v>46</v>
      </c>
      <c r="B132" t="s">
        <v>51</v>
      </c>
      <c r="C132" s="1">
        <v>44523</v>
      </c>
      <c r="D132" s="1">
        <v>44915</v>
      </c>
      <c r="E132" t="s">
        <v>5</v>
      </c>
      <c r="F132" t="s">
        <v>10</v>
      </c>
      <c r="G132">
        <v>70</v>
      </c>
      <c r="H132" s="6" t="b" cm="1">
        <f t="array" ref="H132">YEAR(tblVacancy[[#This Row],[Filled]])=MAX(YEAR(tblVacancy[Filled]))</f>
        <v>1</v>
      </c>
      <c r="I132" s="6">
        <f>tblVacancy[[#This Row],[Filled]]-tblVacancy[[#This Row],[Vacant]]</f>
        <v>392</v>
      </c>
    </row>
    <row r="133" spans="1:9" x14ac:dyDescent="0.3">
      <c r="A133" t="s">
        <v>45</v>
      </c>
      <c r="B133" t="s">
        <v>51</v>
      </c>
      <c r="C133" s="1">
        <v>44518</v>
      </c>
      <c r="D133" s="1">
        <v>44918</v>
      </c>
      <c r="E133" t="s">
        <v>5</v>
      </c>
      <c r="F133" t="s">
        <v>10</v>
      </c>
      <c r="G133">
        <v>54</v>
      </c>
      <c r="H133" s="6" t="b" cm="1">
        <f t="array" ref="H133">YEAR(tblVacancy[[#This Row],[Filled]])=MAX(YEAR(tblVacancy[Filled]))</f>
        <v>1</v>
      </c>
      <c r="I133" s="6">
        <f>tblVacancy[[#This Row],[Filled]]-tblVacancy[[#This Row],[Vacant]]</f>
        <v>400</v>
      </c>
    </row>
    <row r="134" spans="1:9" x14ac:dyDescent="0.3">
      <c r="C134" s="1"/>
    </row>
  </sheetData>
  <sortState xmlns:xlrd2="http://schemas.microsoft.com/office/spreadsheetml/2017/richdata2" ref="A2:D121">
    <sortCondition ref="C2:C121"/>
  </sortState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3A5E3-6271-49C6-B686-82EBF0DC12B8}">
  <sheetPr codeName="Sheet5"/>
  <dimension ref="A1"/>
  <sheetViews>
    <sheetView workbookViewId="0"/>
  </sheetViews>
  <sheetFormatPr defaultRowHeight="15" x14ac:dyDescent="0.3"/>
  <sheetData/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Recruiting</vt:lpstr>
      <vt:lpstr>Employee</vt:lpstr>
      <vt:lpstr>Vacancy</vt:lpstr>
      <vt:lpstr>Layout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 Kusleika</dc:creator>
  <cp:lastModifiedBy>YC Lee</cp:lastModifiedBy>
  <dcterms:created xsi:type="dcterms:W3CDTF">2020-05-18T23:45:12Z</dcterms:created>
  <dcterms:modified xsi:type="dcterms:W3CDTF">2025-07-08T09:45:15Z</dcterms:modified>
</cp:coreProperties>
</file>